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3"/>
  <workbookPr/>
  <mc:AlternateContent xmlns:mc="http://schemas.openxmlformats.org/markup-compatibility/2006">
    <mc:Choice Requires="x15">
      <x15ac:absPath xmlns:x15ac="http://schemas.microsoft.com/office/spreadsheetml/2010/11/ac" url="/Users/aminatlawal/Documents/Dish Guesser/"/>
    </mc:Choice>
  </mc:AlternateContent>
  <xr:revisionPtr revIDLastSave="0" documentId="13_ncr:1_{DE8E7F65-350B-994D-ABE0-B3A38E1676DB}" xr6:coauthVersionLast="45" xr6:coauthVersionMax="45" xr10:uidLastSave="{00000000-0000-0000-0000-000000000000}"/>
  <bookViews>
    <workbookView xWindow="0" yWindow="600" windowWidth="28800" windowHeight="15980" xr2:uid="{00000000-000D-0000-FFFF-FFFF00000000}"/>
  </bookViews>
  <sheets>
    <sheet name="Recipes" sheetId="1" r:id="rId1"/>
    <sheet name="Country Flags" sheetId="3" r:id="rId2"/>
    <sheet name="Mechanics of the game" sheetId="2" r:id="rId3"/>
  </sheets>
  <definedNames>
    <definedName name="_xlnm._FilterDatabase" localSheetId="0" hidden="1">Recipes!$A$1:$M$39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2" i="1"/>
</calcChain>
</file>

<file path=xl/sharedStrings.xml><?xml version="1.0" encoding="utf-8"?>
<sst xmlns="http://schemas.openxmlformats.org/spreadsheetml/2006/main" count="433" uniqueCount="284">
  <si>
    <t>ingredients</t>
  </si>
  <si>
    <t>dish</t>
  </si>
  <si>
    <t>(Clue) Cook time</t>
  </si>
  <si>
    <t>(Clue) Country of Origin</t>
  </si>
  <si>
    <t>Region</t>
  </si>
  <si>
    <t>(Clue) Sweet or Savoury</t>
  </si>
  <si>
    <t>Reciple Link (goodfood)</t>
  </si>
  <si>
    <t>Simplycook link</t>
  </si>
  <si>
    <t>Gousto Link</t>
  </si>
  <si>
    <t>Hellofresh Link</t>
  </si>
  <si>
    <t>['semolina flour', 'eggs', 'spinach', 'ricotta']</t>
  </si>
  <si>
    <t>ravioli</t>
  </si>
  <si>
    <t>25 mins</t>
  </si>
  <si>
    <t>Italy</t>
  </si>
  <si>
    <t>Europe</t>
  </si>
  <si>
    <t>Savoury</t>
  </si>
  <si>
    <t>https://www.bbcgoodfood.com/recipes/homemade-ravioli</t>
  </si>
  <si>
    <t>['mascarpone', 'ladyfingers', 'espresso', 'cocoa powder']</t>
  </si>
  <si>
    <t>tiramisu</t>
  </si>
  <si>
    <t>Sweet</t>
  </si>
  <si>
    <t>https://www.bbcgoodfood.com/recipes/best-ever-tiramisu</t>
  </si>
  <si>
    <t>['masa harina', 'lard', 'chicken broth', 'corn husks']</t>
  </si>
  <si>
    <t>tamales</t>
  </si>
  <si>
    <t>2 hrs</t>
  </si>
  <si>
    <t>Mexico</t>
  </si>
  <si>
    <t>North America</t>
  </si>
  <si>
    <t>https://www.bbcgoodfood.com/user/760800/recipe/mexican-pork-tamales</t>
  </si>
  <si>
    <t>['avocados', 'lime', 'cilantro', 'onion']</t>
  </si>
  <si>
    <t>guacamole</t>
  </si>
  <si>
    <t>https://www.bbcgoodfood.com/recipes/best-ever-chunky-guacamole</t>
  </si>
  <si>
    <t>['miso paste', 'dashi', 'tofu', 'wakame']</t>
  </si>
  <si>
    <t>miso soup</t>
  </si>
  <si>
    <t>5 mins</t>
  </si>
  <si>
    <t>Japan</t>
  </si>
  <si>
    <t>Asia</t>
  </si>
  <si>
    <t>https://www.bbcgoodfood.com/recipes/miso-soup</t>
  </si>
  <si>
    <t>['bonito flakes', 'cabbage', 'flour', 'eggs']</t>
  </si>
  <si>
    <t>okonomiyaki</t>
  </si>
  <si>
    <t>15 mins</t>
  </si>
  <si>
    <t>https://www.bbcgoodfood.com/recipes/okonomiyaki</t>
  </si>
  <si>
    <t>['kimchi', 'tofu', 'pork belly', 'gochugaru']</t>
  </si>
  <si>
    <t>kimchi jjigae</t>
  </si>
  <si>
    <t>South Korea</t>
  </si>
  <si>
    <t>https://www.bbcgoodfood.com/recipes/kimchi-jjigae</t>
  </si>
  <si>
    <t>['glass noodles', 'shiitake', 'carrot', 'sesame oil']</t>
  </si>
  <si>
    <t>japchae</t>
  </si>
  <si>
    <t>20 mins</t>
  </si>
  <si>
    <t>https://www.bbcgoodfood.com/recipes/japchae-stir-fried-noodles</t>
  </si>
  <si>
    <t>['tamarind', 'fish sauce', 'palm sugar', 'rice noodles']</t>
  </si>
  <si>
    <t>pad thai</t>
  </si>
  <si>
    <t>10 mins</t>
  </si>
  <si>
    <t>Thailand</t>
  </si>
  <si>
    <t>https://www.bbcgoodfood.com/recipes/pad-thai</t>
  </si>
  <si>
    <t>['hoisin sauce', 'five spice', 'duck', 'pancakes']</t>
  </si>
  <si>
    <t>peking duck</t>
  </si>
  <si>
    <t>1 hr 50 mins</t>
  </si>
  <si>
    <t>China</t>
  </si>
  <si>
    <t>https://www.bbcgoodfood.com/recipes/peking-duck</t>
  </si>
  <si>
    <t>['paneer', 'spinach', 'garam masala', 'cream']</t>
  </si>
  <si>
    <t>palak paneer</t>
  </si>
  <si>
    <t>India</t>
  </si>
  <si>
    <t>https://www.bbcgoodfood.com/recipes/saag-paneer</t>
  </si>
  <si>
    <t>['lentils', 'turmeric', 'cumin', 'ghee']</t>
  </si>
  <si>
    <t>dal tadka</t>
  </si>
  <si>
    <t>1 hr</t>
  </si>
  <si>
    <t>https://www.bbcgoodfood.com/recipes/tarka-dhal</t>
  </si>
  <si>
    <t>['potatoes', 'cauliflower', 'cumin', 'coriander']</t>
  </si>
  <si>
    <t>aloo gobi</t>
  </si>
  <si>
    <t>40 mins</t>
  </si>
  <si>
    <t>https://www.bbcgoodfood.com/recipes/punjabi-cauliflower-with-potatoes-aloo-gobi</t>
  </si>
  <si>
    <t>['chickpea flour', 'yogurt', 'fenugreek', 'spinach']</t>
  </si>
  <si>
    <t>pakora</t>
  </si>
  <si>
    <t>https://www.bbcgoodfood.com/recipes/pakora</t>
  </si>
  <si>
    <t>['bulgur wheat', 'parsley', 'tomatoes', 'lemon']</t>
  </si>
  <si>
    <t>tabbouleh</t>
  </si>
  <si>
    <t>Lebanon</t>
  </si>
  <si>
    <t>Middle East</t>
  </si>
  <si>
    <t>https://www.bbcgoodfood.com/recipes/tabbouleh</t>
  </si>
  <si>
    <t>['chickpeas', 'tahini', 'lemon juice', 'garlic']</t>
  </si>
  <si>
    <t>hummus</t>
  </si>
  <si>
    <t>https://www.bbcgoodfood.com/recipes/hummus</t>
  </si>
  <si>
    <t>['lamb', 'eggplant', 'tomato', 'cinnamon']</t>
  </si>
  <si>
    <t>moussaka</t>
  </si>
  <si>
    <t>2 hrs 15 mins</t>
  </si>
  <si>
    <t>Greece</t>
  </si>
  <si>
    <t>https://www.bbcgoodfood.com/recipes/moussaka</t>
  </si>
  <si>
    <t>['yogurt', 'cucumber', 'garlic', 'dill']</t>
  </si>
  <si>
    <t>tzatziki</t>
  </si>
  <si>
    <t>https://www.bbcgoodfood.com/recipes/tzatziki</t>
  </si>
  <si>
    <t>['filo pastry', 'walnuts', 'honey', 'cinnamon']</t>
  </si>
  <si>
    <t>baklava</t>
  </si>
  <si>
    <t>45 mins</t>
  </si>
  <si>
    <t>Turkey</t>
  </si>
  <si>
    <t>https://www.bbcgoodfood.com/recipes/rose-baklava</t>
  </si>
  <si>
    <t>['chickpeas', 'cumin', 'coriander', 'parsley']</t>
  </si>
  <si>
    <t>falafel</t>
  </si>
  <si>
    <t>https://www.bbcgoodfood.com/recipes/spicy-falafels</t>
  </si>
  <si>
    <t>['beef', 'red wine', 'pearl onions', 'bacon']</t>
  </si>
  <si>
    <t>beef bourguignon</t>
  </si>
  <si>
    <t>3 hrs 30 mins</t>
  </si>
  <si>
    <t>France</t>
  </si>
  <si>
    <t>https://www.bbcgoodfood.com/recipes/beef-bourguignon</t>
  </si>
  <si>
    <t>['eel', 'soy sauce', 'mirin', 'rice', 'sake']</t>
  </si>
  <si>
    <t>unadon</t>
  </si>
  <si>
    <t>30 mins</t>
  </si>
  <si>
    <t>https://www.justonecookbook.com/unagi-don-unadon/</t>
  </si>
  <si>
    <t>['beef', 'sake', 'mirin','sugar', 'ginger']</t>
  </si>
  <si>
    <t>gyudon</t>
  </si>
  <si>
    <t>https://www.justonecookbook.com/gyudon/</t>
  </si>
  <si>
    <t>['pandan leaves', 'coconut', 'rice', 'mango']</t>
  </si>
  <si>
    <t>mango sticky rice</t>
  </si>
  <si>
    <t>50 mins</t>
  </si>
  <si>
    <t>https://www.bbcgoodfood.com/recipes/sticky-rice-mango</t>
  </si>
  <si>
    <t>['dried shrimp', 'daikon', 'rice flour', 'scallions']</t>
  </si>
  <si>
    <t>turnip cake</t>
  </si>
  <si>
    <t>1 hr 30 mins</t>
  </si>
  <si>
    <t>https://redhousespice.com/turnip-cake-lo-bak-go/</t>
  </si>
  <si>
    <t>['beef short ribs', 'soy sauce', 'pear', 'sesame']</t>
  </si>
  <si>
    <t>galbi</t>
  </si>
  <si>
    <t>1 hr 20 mins</t>
  </si>
  <si>
    <t>https://www.bbcgoodfood.com/recipes/korean-bbq-style-ribs-radish-slaw</t>
  </si>
  <si>
    <t>['rice', 'vegetables', 'gochujang', 'fried egg']</t>
  </si>
  <si>
    <t>bibimbap</t>
  </si>
  <si>
    <t>https://www.bbcgoodfood.com/recipes/korean-bibimbap</t>
  </si>
  <si>
    <t>['beef', 'radish', 'glass noodles', 'soy sauce']</t>
  </si>
  <si>
    <t>['filo', 'spinach', 'feta', 'dill']</t>
  </si>
  <si>
    <t>spanakopita</t>
  </si>
  <si>
    <t>https://www.bbcgoodfood.com/recipes/lighter-spanakopita</t>
  </si>
  <si>
    <t>['scotch bonnet', 'allspice', 'thyme', 'chicken']</t>
  </si>
  <si>
    <t>jerk chicken</t>
  </si>
  <si>
    <t>Jamaica</t>
  </si>
  <si>
    <t>Caribbean</t>
  </si>
  <si>
    <t>https://www.bbcgoodfood.com/recipes/jerk-chicken</t>
  </si>
  <si>
    <t>['goat', 'curry powder', 'potatoes', 'scotch bonnet']</t>
  </si>
  <si>
    <t>curry goat</t>
  </si>
  <si>
    <t>2 hrs 20 mins</t>
  </si>
  <si>
    <t>https://www.bbcgoodfood.com/recipes/curried-goat</t>
  </si>
  <si>
    <t>['beef', 'mushrooms', 'sour cream', 'paprika']</t>
  </si>
  <si>
    <t>stroganoff</t>
  </si>
  <si>
    <t>Russia</t>
  </si>
  <si>
    <t>https://www.bbcgoodfood.com/recipes/beef-stroganoff</t>
  </si>
  <si>
    <t>['beef', 'onions', 'caraway', 'paprika']</t>
  </si>
  <si>
    <t>goulash</t>
  </si>
  <si>
    <t>2 hrs 30 mins</t>
  </si>
  <si>
    <t>Hungary</t>
  </si>
  <si>
    <t>https://www.bbcgoodfood.com/recipes/beef-goulash</t>
  </si>
  <si>
    <t>['lamb', 'potatoes', 'carrots', 'worcestershire']</t>
  </si>
  <si>
    <t>shepherd's pie</t>
  </si>
  <si>
    <t>1 hr 15 mins</t>
  </si>
  <si>
    <t>United Kingdom</t>
  </si>
  <si>
    <t>https://www.bbcgoodfood.com/recipes/no-fuss-shepherds-pie</t>
  </si>
  <si>
    <t>['sausages', 'yorkshire pudding', 'onion gravy']</t>
  </si>
  <si>
    <t>toad in the hole</t>
  </si>
  <si>
    <t>1 hr 10 mins</t>
  </si>
  <si>
    <t>https://www.bbcgoodfood.com/recipes/toad-hole-4-easy-steps</t>
  </si>
  <si>
    <t>['oats', 'golden syrup', 'butter', 'brown sugar']</t>
  </si>
  <si>
    <t>flapjacks</t>
  </si>
  <si>
    <t>https://www.bbcgoodfood.com/recipes/yummy-golden-syrup-flapjacks</t>
  </si>
  <si>
    <t>['lingonberries', 'meatballs', 'cream sauce', 'potatoes']</t>
  </si>
  <si>
    <t>swedish meatballs</t>
  </si>
  <si>
    <t>35 mins</t>
  </si>
  <si>
    <t>Sweden</t>
  </si>
  <si>
    <t>https://www.bbcgoodfood.com/recipes/classic-swedish-meatballs</t>
  </si>
  <si>
    <t>['rice paper', 'coconut', 'sesame seeds', 'mung beans']</t>
  </si>
  <si>
    <t>mochi</t>
  </si>
  <si>
    <t>https://www.bbcgoodfood.com/recipes/mochi-ice-cream</t>
  </si>
  <si>
    <t>Notes</t>
  </si>
  <si>
    <t xml:space="preserve">• Need to add blurred image
• Maybe add cooking method 
• Either a drop down method for dishes or LLM that takes the answer, runs text analysis to see if it matches the answer then returns the answer if it is a match. 
• I'm going to need to add photos of the ingredients as well, it'd be great if i could add a tooltip on information on it (would require another table and some data modelling?)
• Need description of the dishes as well. </t>
  </si>
  <si>
    <t>Dish description</t>
  </si>
  <si>
    <t>Cooking Method</t>
  </si>
  <si>
    <t>Country Flag</t>
  </si>
  <si>
    <t>Country</t>
  </si>
  <si>
    <t>Flag Image</t>
  </si>
  <si>
    <t>Boiled</t>
  </si>
  <si>
    <t>Chilled</t>
  </si>
  <si>
    <t>Steamed</t>
  </si>
  <si>
    <t>Raw</t>
  </si>
  <si>
    <t>Simmered</t>
  </si>
  <si>
    <t>Pan-fried</t>
  </si>
  <si>
    <t>Stewed</t>
  </si>
  <si>
    <t>Stir-fried</t>
  </si>
  <si>
    <t>Roasted</t>
  </si>
  <si>
    <t>Sauteed</t>
  </si>
  <si>
    <t>Deep-fried</t>
  </si>
  <si>
    <t>Blended</t>
  </si>
  <si>
    <t>Baked</t>
  </si>
  <si>
    <t>Braised</t>
  </si>
  <si>
    <t>Grilled</t>
  </si>
  <si>
    <t>Mixed</t>
  </si>
  <si>
    <t>Pounded</t>
  </si>
  <si>
    <t>Image (clear)</t>
  </si>
  <si>
    <t>Image (blurred)</t>
  </si>
  <si>
    <t>/Users/aminatlawal/Documents/Dish Guesser/country flags/gb.png'</t>
  </si>
  <si>
    <t>/Users/aminatlawal/Documents/My Tableau Repository/Shapes/Country flags/se.png'</t>
  </si>
  <si>
    <t>/Users/aminatlawal/Documents/Dish Guesser/country flags/hu.png'</t>
  </si>
  <si>
    <t>/Users/aminatlawal/Documents/Dish Guesser/country flags/ru.png'</t>
  </si>
  <si>
    <t>/Users/aminatlawal/Documents/Dish Guesser/country flags/jm.png'</t>
  </si>
  <si>
    <t>/Users/aminatlawal/Documents/Dish Guesser/country flags/fr.png'</t>
  </si>
  <si>
    <t>Egypt</t>
  </si>
  <si>
    <t>/Users/aminatlawal/Documents/Dish Guesser/country flags/eg.png'</t>
  </si>
  <si>
    <t>/Users/aminatlawal/Documents/Dish Guesser/country flags/tr.png'</t>
  </si>
  <si>
    <t>/Users/aminatlawal/Documents/Dish Guesser/country flags/gr.png'</t>
  </si>
  <si>
    <t>/Users/aminatlawal/Documents/Dish Guesser/country flags/lb.png'</t>
  </si>
  <si>
    <t>/Users/aminatlawal/Documents/Dish Guesser/country flags/in.png'</t>
  </si>
  <si>
    <t>/Users/aminatlawal/Documents/Dish Guesser/country flags/cn.png'</t>
  </si>
  <si>
    <t>/Users/aminatlawal/Documents/Dish Guesser/country flags/th.png'</t>
  </si>
  <si>
    <t>/Users/aminatlawal/Documents/Dish Guesser/country flags/kr.png'</t>
  </si>
  <si>
    <t>/Users/aminatlawal/Documents/Dish Guesser/country flags/jp.png'</t>
  </si>
  <si>
    <t>/Users/aminatlawal/Documents/Dish Guesser/country flags/mx.png'</t>
  </si>
  <si>
    <t>/Users/aminatlawal/Documents/Dish Guesser/country flags/it.png'</t>
  </si>
  <si>
    <t>https://upload.wikimedia.org/wikipedia/commons/thumb/5/58/Tiramisu_-_Raffaele_Diomede.jpg/500px-Tiramisu_-_Raffaele_Diomede.jpg</t>
  </si>
  <si>
    <t>https://upload.wikimedia.org/wikipedia/commons/thumb/a/a5/Tamale_Oaxaque%C3%B1o.jpg/500px-Tamale_Oaxaque%C3%B1o.jpg</t>
  </si>
  <si>
    <t>https://upload.wikimedia.org/wikipedia/commons/thumb/6/64/Guacamole_IMGP1271.jpg/500px-Guacamole_IMGP1271.jpg</t>
  </si>
  <si>
    <t>https://upload.wikimedia.org/wikipedia/commons/thumb/e/e8/Miso_Soup_001.jpg/500px-Miso_Soup_001.jpg</t>
  </si>
  <si>
    <t>https://upload.wikimedia.org/wikipedia/commons/thumb/5/59/Okonomiyaki_001.jpg/500px-Okonomiyaki_001.jpg</t>
  </si>
  <si>
    <t>https://upload.wikimedia.org/wikipedia/commons/d/d6/Korean.cuisine-Kimchi_jjigae-01.jpg</t>
  </si>
  <si>
    <t>https://upload.wikimedia.org/wikipedia/commons/thumb/c/c8/Polish_Korean_Cuisine_and_Culture_Exchanges_Gradmother%E2%80%99s_Recipes_05.jpg/500px-Polish_Korean_Cuisine_and_Culture_Exchanges_Gradmother%E2%80%99s_Recipes_05.jpg</t>
  </si>
  <si>
    <t>https://upload.wikimedia.org/wikipedia/commons/thumb/3/39/Phat_Thai_kung_Chang_Khien_street_stall.jpg/500px-Phat_Thai_kung_Chang_Khien_street_stall.jpg</t>
  </si>
  <si>
    <t>https://upload.wikimedia.org/wikipedia/commons/thumb/8/81/Peking_Duck%2C_2014_%2802%29.jpg/500px-Peking_Duck%2C_2014_%2802%29.jpg</t>
  </si>
  <si>
    <t>https://upload.wikimedia.org/wikipedia/commons/thumb/b/b7/Palakpaneer_Rayagada_Odisha_0009.jpg/500px-Palakpaneer_Rayagada_Odisha_0009.jpg</t>
  </si>
  <si>
    <t>https://upload.wikimedia.org/wikipedia/commons/7/73/Dal_tadka_and_naan.jpg</t>
  </si>
  <si>
    <t>https://upload.wikimedia.org/wikipedia/commons/c/c8/Aloo_gobi.jpg</t>
  </si>
  <si>
    <t>https://upload.wikimedia.org/wikipedia/commons/thumb/c/cf/Onion_pakora_-_a.jpg/500px-Onion_pakora_-_a.jpg</t>
  </si>
  <si>
    <t>https://upload.wikimedia.org/wikipedia/commons/thumb/a/ac/Tabouleh_1.JPG/500px-Tabouleh_1.JPG</t>
  </si>
  <si>
    <t>https://upload.wikimedia.org/wikipedia/commons/thumb/b/bf/Lebanese_style_hummus.jpg/500px-Lebanese_style_hummus.jpg</t>
  </si>
  <si>
    <t>https://upload.wikimedia.org/wikipedia/commons/thumb/a/a8/MussakasMeMelitsanesKePatates01.JPG/500px-MussakasMeMelitsanesKePatates01.JPG</t>
  </si>
  <si>
    <t>https://upload.wikimedia.org/wikipedia/commons/thumb/2/23/Cacik-1.jpg/500px-Cacik-1.jpg</t>
  </si>
  <si>
    <t>https://upload.wikimedia.org/wikipedia/commons/thumb/c/c7/Baklava%281%29.png/500px-Baklava%281%29.png</t>
  </si>
  <si>
    <t>https://upload.wikimedia.org/wikipedia/commons/thumb/5/57/Falafels_2.jpg/500px-Falafels_2.jpg</t>
  </si>
  <si>
    <t>https://upload.wikimedia.org/wikipedia/commons/thumb/2/29/Beef_bourguignon_NYT.jpg/500px-Beef_bourguignon_NYT.jpg</t>
  </si>
  <si>
    <t>https://upload.wikimedia.org/wikipedia/commons/thumb/e/e7/Tokyo_Chikuyotei_Unadon01s2100.jpg/500px-Tokyo_Chikuyotei_Unadon01s2100.jpg</t>
  </si>
  <si>
    <t>https://upload.wikimedia.org/wikipedia/commons/4/45/Gyuu-don_001.jpg</t>
  </si>
  <si>
    <t>https://upload.wikimedia.org/wikipedia/commons/thumb/5/5d/Mango_sticy_rice_%283859549574%29.jpg/500px-Mango_sticy_rice_%283859549574%29.jpg</t>
  </si>
  <si>
    <t>https://upload.wikimedia.org/wikipedia/commons/9/9b/Turnip_cake_at_Chua_Lam%27s_Dim_Sum_%2820201120174336%29.jpg</t>
  </si>
  <si>
    <t>https://upload.wikimedia.org/wikipedia/commons/thumb/4/46/Korean.food-Galbi-03.jpg/500px-Korean.food-Galbi-03.jpg</t>
  </si>
  <si>
    <t>https://upload.wikimedia.org/wikipedia/commons/thumb/4/44/Dolsot-bibimbap.jpg/500px-Dolsot-bibimbap.jpg</t>
  </si>
  <si>
    <t>https://upload.wikimedia.org/wikipedia/commons/3/37/Spanakopita.jpg</t>
  </si>
  <si>
    <t>https://upload.wikimedia.org/wikipedia/commons/c/c2/Jerk_chicken_july_05.jpg</t>
  </si>
  <si>
    <t>https://upload.wikimedia.org/wikipedia/commons/9/9f/Curry_Goat_and_Rice.jpg</t>
  </si>
  <si>
    <t>https://upload.wikimedia.org/wikipedia/commons/thumb/9/95/Moscow_%288351271825%29.jpg/500px-Moscow_%288351271825%29.jpg</t>
  </si>
  <si>
    <t>https://upload.wikimedia.org/wikipedia/commons/thumb/5/5c/Gulyas080.jpg/500px-Gulyas080.jpg</t>
  </si>
  <si>
    <t>https://upload.wikimedia.org/wikipedia/commons/thumb/0/01/Toad_in_the_hole.jpg/500px-Toad_in_the_hole.jpg</t>
  </si>
  <si>
    <t>https://upload.wikimedia.org/wikipedia/commons/thumb/7/74/Flapjacks.jpg/500px-Flapjacks.jpg</t>
  </si>
  <si>
    <t>https://upload.wikimedia.org/wikipedia/commons/9/90/Swedish_meatballs_with_egg_noodles.jpg</t>
  </si>
  <si>
    <t>https://upload.wikimedia.org/wikipedia/commons/thumb/f/ff/Mochi_002.jpg/500px-Mochi_002.jpg</t>
  </si>
  <si>
    <t>https://upload.wikimedia.org/wikipedia/commons/thumb/5/59/Ravioles_de_carne_y_espinaca_con_salsa_y_queso_rallado.jpg/640px-Ravioles_de_carne_y_espinaca_con_salsa_y_queso_rallado.jpg</t>
  </si>
  <si>
    <t>https://upload.wikimedia.org/wikipedia/commons/thumb/d/da/Shepherd%27s_pie_%2822470901009%29_%28cropped%29.jpg/640px-Shepherd%27s_pie_%2822470901009%29_%28cropped%29.jpg</t>
  </si>
  <si>
    <t>Ravioli are small, square-shaped pasta parcels traditionally filled with a mixture of ricotta cheese and spinach, then sealed and boiled until tender. This Italian classic features a delicate semolina pasta dough that encases the creamy filling, often served with butter and sage or a light tomato sauce.</t>
  </si>
  <si>
    <t>Tiramisu is a classic Italian no-bake dessert made by layering coffee-soaked ladyfinger biscuits with a rich mascarpone cream. The espresso provides a bold, slightly bitter contrast to the sweet, velvety mascarpone mixture, and the entire dessert is dusted with cocoa powder for a finishing touch.</t>
  </si>
  <si>
    <t>Tamales are traditional Mexican parcels made from masa (corn dough) that's spread onto corn husks, filled with seasoned meat or other fillings, then wrapped and steamed. The masa is enriched with lard and chicken broth, creating a soft, slightly dense texture that complements the savoury filling.</t>
  </si>
  <si>
    <t>Guacamole is a vibrant Mexican dip made by mashing ripe avocados and mixing them with fresh lime juice, chopped cilantro, and diced onion. The creamy texture of the avocado is balanced by the acidity of the lime and the fresh, herbal notes of cilantro.</t>
  </si>
  <si>
    <t>Miso soup is a fundamental Japanese soup made with dashi (a savoury stock) and dissolved miso paste, creating a deeply umami broth. It typically contains silken tofu cubes and wakame seaweed, offering a light yet flavourful start to a meal.</t>
  </si>
  <si>
    <t>Okonomiyaki is a Japanese savoury pancake made from a batter of flour, eggs, and shredded cabbage, pan-fried until crispy on the outside. Topped with bonito flakes that dance from the heat, along with okonomiyaki sauce and Japanese mayonnaise, it's often described as 'Japanese pizza'.</t>
  </si>
  <si>
    <t>Kimchi jjigae is a hearty Korean stew that combines fermented kimchi with tofu, pork belly, and gochugaru (Korean chili flakes) in a bubbling, spicy broth. The long-fermented kimchi provides a tangy, complex flavour that deepens as the stew simmers.</t>
  </si>
  <si>
    <t>Japchae is a Korean dish of sweet potato glass noodles stir-fried with julienned vegetables like shiitake mushrooms and carrots, all tossed in a savoury-sweet sesame oil and soy sauce mixture. The translucent, chewy noodles have a unique texture that absorbs the flavours beautifully.</t>
  </si>
  <si>
    <t>Pad Thai is Thailand's iconic stir-fried rice noodle dish featuring a distinctive sweet-sour-savoury sauce made from tamarind, fish sauce, and palm sugar. The flat rice noodles are quickly stir-fried with this sauce, often garnished with crushed peanuts, bean sprouts, and lime wedges.</t>
  </si>
  <si>
    <t>Peking duck is a celebrated Chinese dish where duck is glazed with a mixture including hoisin sauce and five-spice powder, then roasted until the skin becomes incredibly crispy and lacquered. The carved duck is traditionally served in thin pancakes with cucumber and spring onions.</t>
  </si>
  <si>
    <t>Palak paneer is an Indian curry featuring cubes of paneer (Indian cottage cheese) in a vibrant green spinach gravy spiced with garam masala and finished with cream. The spinach is blanched and pureed to create a smooth, silky sauce that coats the soft paneer.</t>
  </si>
  <si>
    <t>Dal tadka is an Indian lentil dish where yellow lentils are cooked with turmeric until soft, then finished with a 'tadka'—a tempering of ghee, cumin, and aromatic spices poured sizzling over the top. This creates layers of flavour from the earthy lentils to the fragrant, crispy spice topping.</t>
  </si>
  <si>
    <t>Aloo gobi is a dry Indian curry combining potatoes (aloo) and cauliflower (gobi) sautéed with cumin, coriander, and warming spices. The vegetables are cooked until tender but not mushy, coated in aromatic spices that penetrate each piece.</t>
  </si>
  <si>
    <t>Pakora are Indian fritters made by coating vegetables in a spiced chickpea flour batter and deep-frying until golden and crispy. The gram flour batter, often seasoned with yogurt and fresh herbs like fenugreek, creates a light, crispy shell around the tender vegetable filling.</t>
  </si>
  <si>
    <t>Tabbouleh is a refreshing Lebanese salad where finely chopped parsley is the star ingredient, mixed with bulgur wheat, diced tomatoes, and dressed with lemon juice. Unlike many grain salads, the parsley outweighs the bulgur, creating a bright green, herb-forward dish.</t>
  </si>
  <si>
    <t>Hummus is a creamy Middle Eastern dip made by blending cooked chickpeas with tahini (sesame seed paste), lemon juice, and garlic until silky smooth. The nutty tahini and bright lemon create a balanced, rich spread traditionally served with olive oil drizzled on top.</t>
  </si>
  <si>
    <t>Moussaka is a Greek layered casserole featuring slices of eggplant and spiced lamb or beef mince with tomato, topped with a creamy béchamel sauce and baked until golden. The layers meld together during baking, with cinnamon adding a subtle warmth to the meat layer.</t>
  </si>
  <si>
    <t>Tzatziki is a cool, refreshing Greek sauce made from thick yogurt mixed with grated cucumber, minced garlic, and fresh dill. The cucumber is often salted and drained to prevent the sauce from becoming watery, resulting in a thick, tangy condiment.</t>
  </si>
  <si>
    <t>Baklava is a sweet Middle Eastern pastry made by layering paper-thin sheets of filo pastry with crushed walnuts and warm spices like cinnamon, then drenching the baked pastry in honey syrup. The result is a crispy, flaky, intensely sweet dessert with a satisfying crunch.</t>
  </si>
  <si>
    <t>Falafel are deep-fried balls or patties made from ground chickpeas mixed with cumin, coriander, parsley, and other herbs and spices. The exterior is crispy and golden while the inside remains moist and fluffy, with a distinctive earthy, herby flavour.</t>
  </si>
  <si>
    <t>Beef bourguignon is a French beef stew where chunks of beef are slowly braised in red wine with pearl onions, bacon, and mushrooms until melt-in-your-mouth tender. The wine reduces and concentrates, creating a rich, luxurious sauce that coats the meat.</t>
  </si>
  <si>
    <t>Unadon is a Japanese dish of grilled freshwater eel glazed with a sweet soy-based sauce (made with soy sauce, mirin, and sake) and served over steamed rice. The eel is brushed multiple times during grilling, creating a glossy, caramelized coating with a sweet-savoury flavour.</t>
  </si>
  <si>
    <t>Gyudon is a popular Japanese rice bowl topped with thinly sliced beef and onions simmered in a mildly sweet sauce made from sake, mirin, sugar, and soy sauce, often with a hint of ginger. The beef is cooked quickly so it remains tender, and the sauce soaks into the rice below.</t>
  </si>
  <si>
    <t>Mango sticky rice is a Thai dessert featuring glutinous rice cooked with coconut milk and sugar, served alongside slices of ripe, sweet mango. Pandan leaves are often added during cooking for a subtle fragrance, and the dish is finished with a drizzle of coconut cream.</t>
  </si>
  <si>
    <t>Turnip cake (lo bak go) is a savoury Chinese dim sum made from shredded daikon radish mixed with rice flour, dried shrimp, and scallions, then steamed until firm and sliced. The slices are typically pan-fried until crispy and golden on the outside, with a soft, slightly sticky interior.</t>
  </si>
  <si>
    <t>Galbi are Korean grilled beef short ribs that have been marinated in a sweet-savoury mixture of soy sauce, pear (which tenderizes the meat), sesame, and other aromatics. The ribs are grilled over high heat, caramelizing the marinade and creating charred, flavourful edges.</t>
  </si>
  <si>
    <t>Bibimbap is a Korean mixed rice dish served in a bowl with an array of seasoned vegetables, gochujang (red chili paste), and a fried egg on top. Everything is mixed together just before eating, allowing the runny yolk and spicy paste to coat the rice and vegetables.</t>
  </si>
  <si>
    <t>Spanakopita is a Greek savoury pie made with layers of crispy filo pastry filled with a mixture of spinach, crumbled feta cheese, and fresh dill. The filo is brushed with butter or oil between each layer, creating a golden, flaky exterior that shatters when cut.</t>
  </si>
  <si>
    <t>Jerk chicken is a Jamaican dish where chicken is marinated in a fiery paste made from scotch bonnet peppers, allspice, and thyme, then grilled or smoked over pimento wood. The marinade creates a spicy, aromatic crust with hints of sweetness and warm spice.</t>
  </si>
  <si>
    <t>Curry goat is a Jamaican stew featuring goat meat slow-cooked with curry powder, potatoes, scotch bonnet peppers, and aromatic spices until the meat is fall-apart tender. The long cooking time allows the bold curry flavours to penetrate the meat, creating a rich, warming dish.</t>
  </si>
  <si>
    <t>Stroganoff is a Russian dish of sautéed beef strips cooked with mushrooms in a creamy sour cream sauce seasoned with paprika. The beef is cooked quickly to keep it tender, then combined with the tangy, velvety sauce, traditionally served over egg noodles or rice.</t>
  </si>
  <si>
    <t>Goulash is a Hungarian beef stew rich with paprika, featuring chunks of beef slow-cooked with onions, caraway seeds, and sweet paprika until the meat is tender and the sauce is thick and deeply flavoured. The paprika provides both colour and a sweet, earthy heat.</t>
  </si>
  <si>
    <t>Shepherd's pie is a British casserole with a layer of minced lamb cooked with carrots, onions, and Worcestershire sauce, topped with creamy mashed potatoes and baked until golden. The mashed potato forms a crispy, browned crust while staying fluffy underneath.</t>
  </si>
  <si>
    <t>Toad in the hole is a British dish where sausages are baked in a Yorkshire pudding batter until the batter puffs up golden and crispy around the sausages. It's traditionally served with onion gravy that seeps into the airy pockets of the Yorkshire pudding.</t>
  </si>
  <si>
    <t>Flapjacks (British-style) are sweet, chewy oat bars made by mixing rolled oats with melted butter, golden syrup, and brown sugar, then baking until golden. The golden syrup gives them a distinctive caramel flavour and helps bind the oats into dense, satisfying bars.</t>
  </si>
  <si>
    <t>Swedish meatballs are small, tender meatballs made from a mixture of ground meat, typically served with a creamy sauce, lingonberry jam, and often accompanied by potatoes. The cream sauce is rich and smooth, while the tart lingonberry jam provides a sweet-sour contrast.</t>
  </si>
  <si>
    <t>Mochi is a Japanese confection made from glutinous rice that's pounded into a smooth, elastic paste, then shaped and often filled with sweet fillings. The texture is distinctively chewy and stretchy, with a subtle sweetness that can be enhanced with coatings like sesame seeds or filled with sweetened red bean paste.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</si>
</sst>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xf numFmtId="0" fontId="1" fillId="0" borderId="2" xfId="0" applyFont="1" applyFill="1" applyBorder="1" applyAlignment="1">
      <alignment horizontal="center" vertical="top"/>
    </xf>
    <xf numFmtId="0" fontId="0" fillId="0" borderId="0" xfId="0" quotePrefix="1"/>
    <xf numFmtId="0" fontId="3"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upload.wikimedia.org/wikipedia/commons/thumb/3/39/Phat_Thai_kung_Chang_Khien_street_stall.jpg/500px-Phat_Thai_kung_Chang_Khien_street_stall.jpg" TargetMode="External"/><Relationship Id="rId18" Type="http://schemas.openxmlformats.org/officeDocument/2006/relationships/hyperlink" Target="https://upload.wikimedia.org/wikipedia/commons/thumb/c/cf/Onion_pakora_-_a.jpg/500px-Onion_pakora_-_a.jpg" TargetMode="External"/><Relationship Id="rId26" Type="http://schemas.openxmlformats.org/officeDocument/2006/relationships/hyperlink" Target="https://upload.wikimedia.org/wikipedia/commons/thumb/e/e7/Tokyo_Chikuyotei_Unadon01s2100.jpg/500px-Tokyo_Chikuyotei_Unadon01s2100.jpg" TargetMode="External"/><Relationship Id="rId39" Type="http://schemas.openxmlformats.org/officeDocument/2006/relationships/hyperlink" Target="https://upload.wikimedia.org/wikipedia/commons/thumb/0/01/Toad_in_the_hole.jpg/500px-Toad_in_the_hole.jpg" TargetMode="External"/><Relationship Id="rId21" Type="http://schemas.openxmlformats.org/officeDocument/2006/relationships/hyperlink" Target="https://upload.wikimedia.org/wikipedia/commons/thumb/a/a8/MussakasMeMelitsanesKePatates01.JPG/500px-MussakasMeMelitsanesKePatates01.JPG" TargetMode="External"/><Relationship Id="rId34" Type="http://schemas.openxmlformats.org/officeDocument/2006/relationships/hyperlink" Target="https://upload.wikimedia.org/wikipedia/commons/c/c2/Jerk_chicken_july_05.jpg" TargetMode="External"/><Relationship Id="rId42" Type="http://schemas.openxmlformats.org/officeDocument/2006/relationships/hyperlink" Target="https://upload.wikimedia.org/wikipedia/commons/thumb/f/ff/Mochi_002.jpg/500px-Mochi_002.jpg" TargetMode="External"/><Relationship Id="rId7" Type="http://schemas.openxmlformats.org/officeDocument/2006/relationships/hyperlink" Target="https://upload.wikimedia.org/wikipedia/commons/thumb/a/a5/Tamale_Oaxaque%C3%B1o.jpg/500px-Tamale_Oaxaque%C3%B1o.jpg" TargetMode="External"/><Relationship Id="rId2" Type="http://schemas.openxmlformats.org/officeDocument/2006/relationships/hyperlink" Target="https://www.bbcgoodfood.com/recipes/best-ever-chunky-guacamole" TargetMode="External"/><Relationship Id="rId16" Type="http://schemas.openxmlformats.org/officeDocument/2006/relationships/hyperlink" Target="https://upload.wikimedia.org/wikipedia/commons/7/73/Dal_tadka_and_naan.jpg" TargetMode="External"/><Relationship Id="rId20" Type="http://schemas.openxmlformats.org/officeDocument/2006/relationships/hyperlink" Target="https://upload.wikimedia.org/wikipedia/commons/thumb/b/bf/Lebanese_style_hummus.jpg/500px-Lebanese_style_hummus.jpg" TargetMode="External"/><Relationship Id="rId29" Type="http://schemas.openxmlformats.org/officeDocument/2006/relationships/hyperlink" Target="https://upload.wikimedia.org/wikipedia/commons/9/9b/Turnip_cake_at_Chua_Lam%27s_Dim_Sum_%2820201120174336%29.jpg" TargetMode="External"/><Relationship Id="rId41" Type="http://schemas.openxmlformats.org/officeDocument/2006/relationships/hyperlink" Target="https://upload.wikimedia.org/wikipedia/commons/9/90/Swedish_meatballs_with_egg_noodles.jpg" TargetMode="External"/><Relationship Id="rId1" Type="http://schemas.openxmlformats.org/officeDocument/2006/relationships/hyperlink" Target="https://www.bbcgoodfood.com/recipes/best-ever-tiramisu" TargetMode="External"/><Relationship Id="rId6" Type="http://schemas.openxmlformats.org/officeDocument/2006/relationships/hyperlink" Target="https://upload.wikimedia.org/wikipedia/commons/thumb/5/58/Tiramisu_-_Raffaele_Diomede.jpg/500px-Tiramisu_-_Raffaele_Diomede.jpg" TargetMode="External"/><Relationship Id="rId11" Type="http://schemas.openxmlformats.org/officeDocument/2006/relationships/hyperlink" Target="https://upload.wikimedia.org/wikipedia/commons/d/d6/Korean.cuisine-Kimchi_jjigae-01.jpg" TargetMode="External"/><Relationship Id="rId24" Type="http://schemas.openxmlformats.org/officeDocument/2006/relationships/hyperlink" Target="https://upload.wikimedia.org/wikipedia/commons/thumb/5/57/Falafels_2.jpg/500px-Falafels_2.jpg" TargetMode="External"/><Relationship Id="rId32" Type="http://schemas.openxmlformats.org/officeDocument/2006/relationships/hyperlink" Target="https://upload.wikimedia.org/wikipedia/commons/thumb/c/c8/Polish_Korean_Cuisine_and_Culture_Exchanges_Gradmother%E2%80%99s_Recipes_05.jpg/500px-Polish_Korean_Cuisine_and_Culture_Exchanges_Gradmother%E2%80%99s_Recipes_05.jpg" TargetMode="External"/><Relationship Id="rId37" Type="http://schemas.openxmlformats.org/officeDocument/2006/relationships/hyperlink" Target="https://upload.wikimedia.org/wikipedia/commons/thumb/5/5c/Gulyas080.jpg/500px-Gulyas080.jpg" TargetMode="External"/><Relationship Id="rId40" Type="http://schemas.openxmlformats.org/officeDocument/2006/relationships/hyperlink" Target="https://upload.wikimedia.org/wikipedia/commons/thumb/7/74/Flapjacks.jpg/500px-Flapjacks.jpg" TargetMode="External"/><Relationship Id="rId5" Type="http://schemas.openxmlformats.org/officeDocument/2006/relationships/hyperlink" Target="https://www.bbcgoodfood.com/recipes/tzatziki" TargetMode="External"/><Relationship Id="rId15" Type="http://schemas.openxmlformats.org/officeDocument/2006/relationships/hyperlink" Target="https://upload.wikimedia.org/wikipedia/commons/thumb/b/b7/Palakpaneer_Rayagada_Odisha_0009.jpg/500px-Palakpaneer_Rayagada_Odisha_0009.jpg" TargetMode="External"/><Relationship Id="rId23" Type="http://schemas.openxmlformats.org/officeDocument/2006/relationships/hyperlink" Target="https://upload.wikimedia.org/wikipedia/commons/thumb/c/c7/Baklava%281%29.png/500px-Baklava%281%29.png" TargetMode="External"/><Relationship Id="rId28" Type="http://schemas.openxmlformats.org/officeDocument/2006/relationships/hyperlink" Target="https://upload.wikimedia.org/wikipedia/commons/thumb/5/5d/Mango_sticy_rice_%283859549574%29.jpg/500px-Mango_sticy_rice_%283859549574%29.jpg" TargetMode="External"/><Relationship Id="rId36" Type="http://schemas.openxmlformats.org/officeDocument/2006/relationships/hyperlink" Target="https://upload.wikimedia.org/wikipedia/commons/thumb/9/95/Moscow_%288351271825%29.jpg/500px-Moscow_%288351271825%29.jpg" TargetMode="External"/><Relationship Id="rId10" Type="http://schemas.openxmlformats.org/officeDocument/2006/relationships/hyperlink" Target="https://upload.wikimedia.org/wikipedia/commons/thumb/5/59/Okonomiyaki_001.jpg/500px-Okonomiyaki_001.jpg" TargetMode="External"/><Relationship Id="rId19" Type="http://schemas.openxmlformats.org/officeDocument/2006/relationships/hyperlink" Target="https://upload.wikimedia.org/wikipedia/commons/thumb/a/ac/Tabouleh_1.JPG/500px-Tabouleh_1.JPG" TargetMode="External"/><Relationship Id="rId31" Type="http://schemas.openxmlformats.org/officeDocument/2006/relationships/hyperlink" Target="https://upload.wikimedia.org/wikipedia/commons/thumb/4/44/Dolsot-bibimbap.jpg/500px-Dolsot-bibimbap.jpg" TargetMode="External"/><Relationship Id="rId4" Type="http://schemas.openxmlformats.org/officeDocument/2006/relationships/hyperlink" Target="https://www.bbcgoodfood.com/recipes/hummus" TargetMode="External"/><Relationship Id="rId9" Type="http://schemas.openxmlformats.org/officeDocument/2006/relationships/hyperlink" Target="https://upload.wikimedia.org/wikipedia/commons/thumb/e/e8/Miso_Soup_001.jpg/500px-Miso_Soup_001.jpg" TargetMode="External"/><Relationship Id="rId14" Type="http://schemas.openxmlformats.org/officeDocument/2006/relationships/hyperlink" Target="https://upload.wikimedia.org/wikipedia/commons/thumb/8/81/Peking_Duck%2C_2014_%2802%29.jpg/500px-Peking_Duck%2C_2014_%2802%29.jpg" TargetMode="External"/><Relationship Id="rId22" Type="http://schemas.openxmlformats.org/officeDocument/2006/relationships/hyperlink" Target="https://upload.wikimedia.org/wikipedia/commons/thumb/2/23/Cacik-1.jpg/500px-Cacik-1.jpg" TargetMode="External"/><Relationship Id="rId27" Type="http://schemas.openxmlformats.org/officeDocument/2006/relationships/hyperlink" Target="https://upload.wikimedia.org/wikipedia/commons/4/45/Gyuu-don_001.jpg" TargetMode="External"/><Relationship Id="rId30" Type="http://schemas.openxmlformats.org/officeDocument/2006/relationships/hyperlink" Target="https://upload.wikimedia.org/wikipedia/commons/thumb/4/46/Korean.food-Galbi-03.jpg/500px-Korean.food-Galbi-03.jpg" TargetMode="External"/><Relationship Id="rId35" Type="http://schemas.openxmlformats.org/officeDocument/2006/relationships/hyperlink" Target="https://upload.wikimedia.org/wikipedia/commons/9/9f/Curry_Goat_and_Rice.jpg" TargetMode="External"/><Relationship Id="rId43" Type="http://schemas.openxmlformats.org/officeDocument/2006/relationships/hyperlink" Target="https://upload.wikimedia.org/wikipedia/commons/thumb/5/59/Ravioles_de_carne_y_espinaca_con_salsa_y_queso_rallado.jpg/640px-Ravioles_de_carne_y_espinaca_con_salsa_y_queso_rallado.jpg" TargetMode="External"/><Relationship Id="rId8" Type="http://schemas.openxmlformats.org/officeDocument/2006/relationships/hyperlink" Target="https://upload.wikimedia.org/wikipedia/commons/thumb/6/64/Guacamole_IMGP1271.jpg/500px-Guacamole_IMGP1271.jpg" TargetMode="External"/><Relationship Id="rId3" Type="http://schemas.openxmlformats.org/officeDocument/2006/relationships/hyperlink" Target="https://www.bbcgoodfood.com/recipes/tabbouleh" TargetMode="External"/><Relationship Id="rId12" Type="http://schemas.openxmlformats.org/officeDocument/2006/relationships/hyperlink" Target="https://upload.wikimedia.org/wikipedia/commons/thumb/c/c8/Polish_Korean_Cuisine_and_Culture_Exchanges_Gradmother%E2%80%99s_Recipes_05.jpg/500px-Polish_Korean_Cuisine_and_Culture_Exchanges_Gradmother%E2%80%99s_Recipes_05.jpg" TargetMode="External"/><Relationship Id="rId17" Type="http://schemas.openxmlformats.org/officeDocument/2006/relationships/hyperlink" Target="https://upload.wikimedia.org/wikipedia/commons/c/c8/Aloo_gobi.jpg" TargetMode="External"/><Relationship Id="rId25" Type="http://schemas.openxmlformats.org/officeDocument/2006/relationships/hyperlink" Target="https://upload.wikimedia.org/wikipedia/commons/thumb/2/29/Beef_bourguignon_NYT.jpg/500px-Beef_bourguignon_NYT.jpg" TargetMode="External"/><Relationship Id="rId33" Type="http://schemas.openxmlformats.org/officeDocument/2006/relationships/hyperlink" Target="https://upload.wikimedia.org/wikipedia/commons/3/37/Spanakopita.jpg" TargetMode="External"/><Relationship Id="rId38" Type="http://schemas.openxmlformats.org/officeDocument/2006/relationships/hyperlink" Target="https://upload.wikimedia.org/wikipedia/commons/thumb/d/da/Shepherd%27s_pie_%2822470901009%29_%28cropped%29.jpg/640px-Shepherd%27s_pie_%2822470901009%29_%28cropped%2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9"/>
  <sheetViews>
    <sheetView tabSelected="1" workbookViewId="0">
      <selection activeCell="O2" sqref="O2:O39"/>
    </sheetView>
  </sheetViews>
  <sheetFormatPr baseColWidth="10" defaultColWidth="8.83203125" defaultRowHeight="15" x14ac:dyDescent="0.2"/>
  <sheetData>
    <row r="1" spans="1:15" x14ac:dyDescent="0.2">
      <c r="A1" s="1" t="s">
        <v>0</v>
      </c>
      <c r="B1" s="1" t="s">
        <v>1</v>
      </c>
      <c r="C1" s="1" t="s">
        <v>190</v>
      </c>
      <c r="D1" s="1" t="s">
        <v>191</v>
      </c>
      <c r="E1" s="1" t="s">
        <v>2</v>
      </c>
      <c r="F1" s="1" t="s">
        <v>3</v>
      </c>
      <c r="G1" s="1" t="s">
        <v>170</v>
      </c>
      <c r="H1" s="1" t="s">
        <v>4</v>
      </c>
      <c r="I1" s="1" t="s">
        <v>5</v>
      </c>
      <c r="J1" s="1" t="s">
        <v>6</v>
      </c>
      <c r="K1" s="1" t="s">
        <v>7</v>
      </c>
      <c r="L1" s="1" t="s">
        <v>8</v>
      </c>
      <c r="M1" s="1" t="s">
        <v>9</v>
      </c>
      <c r="N1" s="4" t="s">
        <v>169</v>
      </c>
      <c r="O1" s="4" t="s">
        <v>168</v>
      </c>
    </row>
    <row r="2" spans="1:15" x14ac:dyDescent="0.2">
      <c r="A2" t="s">
        <v>10</v>
      </c>
      <c r="B2" t="s">
        <v>11</v>
      </c>
      <c r="C2" s="2" t="s">
        <v>245</v>
      </c>
      <c r="E2" t="s">
        <v>12</v>
      </c>
      <c r="F2" t="s">
        <v>13</v>
      </c>
      <c r="G2" t="str">
        <f>_xlfn.XLOOKUP(F2,'Country Flags'!$A$2:$A$18, 'Country Flags'!$B$2:$B$18, "not found", 0)</f>
        <v>/Users/aminatlawal/Documents/Dish Guesser/country flags/it.png'</v>
      </c>
      <c r="H2" t="s">
        <v>14</v>
      </c>
      <c r="I2" t="s">
        <v>15</v>
      </c>
      <c r="J2" t="s">
        <v>16</v>
      </c>
      <c r="N2" t="s">
        <v>173</v>
      </c>
      <c r="O2" t="s">
        <v>247</v>
      </c>
    </row>
    <row r="3" spans="1:15" x14ac:dyDescent="0.2">
      <c r="A3" t="s">
        <v>17</v>
      </c>
      <c r="B3" t="s">
        <v>18</v>
      </c>
      <c r="C3" s="2" t="s">
        <v>210</v>
      </c>
      <c r="E3" t="s">
        <v>104</v>
      </c>
      <c r="F3" t="s">
        <v>13</v>
      </c>
      <c r="G3" t="str">
        <f>_xlfn.XLOOKUP(F3,'Country Flags'!$A$2:$A$18, 'Country Flags'!$B$2:$B$18, "not found", 0)</f>
        <v>/Users/aminatlawal/Documents/Dish Guesser/country flags/it.png'</v>
      </c>
      <c r="H3" t="s">
        <v>14</v>
      </c>
      <c r="I3" t="s">
        <v>19</v>
      </c>
      <c r="J3" s="2" t="s">
        <v>20</v>
      </c>
      <c r="N3" t="s">
        <v>174</v>
      </c>
      <c r="O3" t="s">
        <v>248</v>
      </c>
    </row>
    <row r="4" spans="1:15" x14ac:dyDescent="0.2">
      <c r="A4" t="s">
        <v>21</v>
      </c>
      <c r="B4" t="s">
        <v>22</v>
      </c>
      <c r="C4" s="2" t="s">
        <v>211</v>
      </c>
      <c r="E4" t="s">
        <v>23</v>
      </c>
      <c r="F4" t="s">
        <v>24</v>
      </c>
      <c r="G4" t="str">
        <f>_xlfn.XLOOKUP(F4,'Country Flags'!$A$2:$A$18, 'Country Flags'!$B$2:$B$18, "not found", 0)</f>
        <v>/Users/aminatlawal/Documents/Dish Guesser/country flags/mx.png'</v>
      </c>
      <c r="H4" t="s">
        <v>25</v>
      </c>
      <c r="I4" t="s">
        <v>15</v>
      </c>
      <c r="J4" t="s">
        <v>26</v>
      </c>
      <c r="N4" t="s">
        <v>175</v>
      </c>
      <c r="O4" t="s">
        <v>249</v>
      </c>
    </row>
    <row r="5" spans="1:15" x14ac:dyDescent="0.2">
      <c r="A5" t="s">
        <v>27</v>
      </c>
      <c r="B5" t="s">
        <v>28</v>
      </c>
      <c r="C5" s="2" t="s">
        <v>212</v>
      </c>
      <c r="E5" t="s">
        <v>50</v>
      </c>
      <c r="F5" t="s">
        <v>24</v>
      </c>
      <c r="G5" t="str">
        <f>_xlfn.XLOOKUP(F5,'Country Flags'!$A$2:$A$18, 'Country Flags'!$B$2:$B$18, "not found", 0)</f>
        <v>/Users/aminatlawal/Documents/Dish Guesser/country flags/mx.png'</v>
      </c>
      <c r="H5" t="s">
        <v>25</v>
      </c>
      <c r="I5" t="s">
        <v>15</v>
      </c>
      <c r="J5" s="2" t="s">
        <v>29</v>
      </c>
      <c r="N5" t="s">
        <v>176</v>
      </c>
      <c r="O5" t="s">
        <v>250</v>
      </c>
    </row>
    <row r="6" spans="1:15" x14ac:dyDescent="0.2">
      <c r="A6" t="s">
        <v>30</v>
      </c>
      <c r="B6" t="s">
        <v>31</v>
      </c>
      <c r="C6" s="2" t="s">
        <v>213</v>
      </c>
      <c r="E6" t="s">
        <v>32</v>
      </c>
      <c r="F6" t="s">
        <v>33</v>
      </c>
      <c r="G6" t="str">
        <f>_xlfn.XLOOKUP(F6,'Country Flags'!$A$2:$A$18, 'Country Flags'!$B$2:$B$18, "not found", 0)</f>
        <v>/Users/aminatlawal/Documents/Dish Guesser/country flags/jp.png'</v>
      </c>
      <c r="H6" t="s">
        <v>34</v>
      </c>
      <c r="I6" t="s">
        <v>15</v>
      </c>
      <c r="J6" t="s">
        <v>35</v>
      </c>
      <c r="N6" t="s">
        <v>177</v>
      </c>
      <c r="O6" t="s">
        <v>251</v>
      </c>
    </row>
    <row r="7" spans="1:15" x14ac:dyDescent="0.2">
      <c r="A7" t="s">
        <v>36</v>
      </c>
      <c r="B7" t="s">
        <v>37</v>
      </c>
      <c r="C7" s="2" t="s">
        <v>214</v>
      </c>
      <c r="E7" t="s">
        <v>38</v>
      </c>
      <c r="F7" t="s">
        <v>33</v>
      </c>
      <c r="G7" t="str">
        <f>_xlfn.XLOOKUP(F7,'Country Flags'!$A$2:$A$18, 'Country Flags'!$B$2:$B$18, "not found", 0)</f>
        <v>/Users/aminatlawal/Documents/Dish Guesser/country flags/jp.png'</v>
      </c>
      <c r="H7" t="s">
        <v>34</v>
      </c>
      <c r="I7" t="s">
        <v>15</v>
      </c>
      <c r="J7" t="s">
        <v>39</v>
      </c>
      <c r="N7" t="s">
        <v>178</v>
      </c>
      <c r="O7" t="s">
        <v>252</v>
      </c>
    </row>
    <row r="8" spans="1:15" x14ac:dyDescent="0.2">
      <c r="A8" t="s">
        <v>40</v>
      </c>
      <c r="B8" t="s">
        <v>41</v>
      </c>
      <c r="C8" s="2" t="s">
        <v>215</v>
      </c>
      <c r="E8" t="s">
        <v>12</v>
      </c>
      <c r="F8" t="s">
        <v>42</v>
      </c>
      <c r="G8" t="str">
        <f>_xlfn.XLOOKUP(F8,'Country Flags'!$A$2:$A$18, 'Country Flags'!$B$2:$B$18, "not found", 0)</f>
        <v>/Users/aminatlawal/Documents/Dish Guesser/country flags/kr.png'</v>
      </c>
      <c r="H8" t="s">
        <v>34</v>
      </c>
      <c r="I8" t="s">
        <v>15</v>
      </c>
      <c r="J8" t="s">
        <v>43</v>
      </c>
      <c r="N8" t="s">
        <v>179</v>
      </c>
      <c r="O8" t="s">
        <v>253</v>
      </c>
    </row>
    <row r="9" spans="1:15" x14ac:dyDescent="0.2">
      <c r="A9" t="s">
        <v>44</v>
      </c>
      <c r="B9" t="s">
        <v>45</v>
      </c>
      <c r="C9" s="2" t="s">
        <v>216</v>
      </c>
      <c r="E9" t="s">
        <v>46</v>
      </c>
      <c r="F9" t="s">
        <v>42</v>
      </c>
      <c r="G9" t="str">
        <f>_xlfn.XLOOKUP(F9,'Country Flags'!$A$2:$A$18, 'Country Flags'!$B$2:$B$18, "not found", 0)</f>
        <v>/Users/aminatlawal/Documents/Dish Guesser/country flags/kr.png'</v>
      </c>
      <c r="H9" t="s">
        <v>34</v>
      </c>
      <c r="I9" t="s">
        <v>15</v>
      </c>
      <c r="J9" t="s">
        <v>47</v>
      </c>
      <c r="N9" t="s">
        <v>180</v>
      </c>
      <c r="O9" t="s">
        <v>254</v>
      </c>
    </row>
    <row r="10" spans="1:15" x14ac:dyDescent="0.2">
      <c r="A10" t="s">
        <v>48</v>
      </c>
      <c r="B10" t="s">
        <v>49</v>
      </c>
      <c r="C10" s="2" t="s">
        <v>217</v>
      </c>
      <c r="E10" t="s">
        <v>50</v>
      </c>
      <c r="F10" t="s">
        <v>51</v>
      </c>
      <c r="G10" t="str">
        <f>_xlfn.XLOOKUP(F10,'Country Flags'!$A$2:$A$18, 'Country Flags'!$B$2:$B$18, "not found", 0)</f>
        <v>/Users/aminatlawal/Documents/Dish Guesser/country flags/th.png'</v>
      </c>
      <c r="H10" t="s">
        <v>34</v>
      </c>
      <c r="I10" t="s">
        <v>15</v>
      </c>
      <c r="J10" t="s">
        <v>52</v>
      </c>
      <c r="N10" t="s">
        <v>180</v>
      </c>
      <c r="O10" t="s">
        <v>255</v>
      </c>
    </row>
    <row r="11" spans="1:15" x14ac:dyDescent="0.2">
      <c r="A11" t="s">
        <v>53</v>
      </c>
      <c r="B11" t="s">
        <v>54</v>
      </c>
      <c r="C11" s="2" t="s">
        <v>218</v>
      </c>
      <c r="E11" t="s">
        <v>55</v>
      </c>
      <c r="F11" t="s">
        <v>56</v>
      </c>
      <c r="G11" t="str">
        <f>_xlfn.XLOOKUP(F11,'Country Flags'!$A$2:$A$18, 'Country Flags'!$B$2:$B$18, "not found", 0)</f>
        <v>/Users/aminatlawal/Documents/Dish Guesser/country flags/cn.png'</v>
      </c>
      <c r="H11" t="s">
        <v>34</v>
      </c>
      <c r="I11" t="s">
        <v>15</v>
      </c>
      <c r="J11" t="s">
        <v>57</v>
      </c>
      <c r="N11" t="s">
        <v>181</v>
      </c>
      <c r="O11" t="s">
        <v>256</v>
      </c>
    </row>
    <row r="12" spans="1:15" x14ac:dyDescent="0.2">
      <c r="A12" t="s">
        <v>58</v>
      </c>
      <c r="B12" t="s">
        <v>59</v>
      </c>
      <c r="C12" s="2" t="s">
        <v>219</v>
      </c>
      <c r="E12" t="s">
        <v>46</v>
      </c>
      <c r="F12" t="s">
        <v>60</v>
      </c>
      <c r="G12" t="str">
        <f>_xlfn.XLOOKUP(F12,'Country Flags'!$A$2:$A$18, 'Country Flags'!$B$2:$B$18, "not found", 0)</f>
        <v>/Users/aminatlawal/Documents/Dish Guesser/country flags/in.png'</v>
      </c>
      <c r="H12" t="s">
        <v>34</v>
      </c>
      <c r="I12" t="s">
        <v>15</v>
      </c>
      <c r="J12" t="s">
        <v>61</v>
      </c>
      <c r="N12" t="s">
        <v>177</v>
      </c>
      <c r="O12" t="s">
        <v>257</v>
      </c>
    </row>
    <row r="13" spans="1:15" x14ac:dyDescent="0.2">
      <c r="A13" t="s">
        <v>62</v>
      </c>
      <c r="B13" t="s">
        <v>63</v>
      </c>
      <c r="C13" s="2" t="s">
        <v>220</v>
      </c>
      <c r="E13" t="s">
        <v>64</v>
      </c>
      <c r="F13" t="s">
        <v>60</v>
      </c>
      <c r="G13" t="str">
        <f>_xlfn.XLOOKUP(F13,'Country Flags'!$A$2:$A$18, 'Country Flags'!$B$2:$B$18, "not found", 0)</f>
        <v>/Users/aminatlawal/Documents/Dish Guesser/country flags/in.png'</v>
      </c>
      <c r="H13" t="s">
        <v>34</v>
      </c>
      <c r="I13" t="s">
        <v>15</v>
      </c>
      <c r="J13" t="s">
        <v>65</v>
      </c>
      <c r="N13" t="s">
        <v>177</v>
      </c>
      <c r="O13" t="s">
        <v>258</v>
      </c>
    </row>
    <row r="14" spans="1:15" x14ac:dyDescent="0.2">
      <c r="A14" t="s">
        <v>66</v>
      </c>
      <c r="B14" t="s">
        <v>67</v>
      </c>
      <c r="C14" s="2" t="s">
        <v>221</v>
      </c>
      <c r="E14" t="s">
        <v>68</v>
      </c>
      <c r="F14" t="s">
        <v>60</v>
      </c>
      <c r="G14" t="str">
        <f>_xlfn.XLOOKUP(F14,'Country Flags'!$A$2:$A$18, 'Country Flags'!$B$2:$B$18, "not found", 0)</f>
        <v>/Users/aminatlawal/Documents/Dish Guesser/country flags/in.png'</v>
      </c>
      <c r="H14" t="s">
        <v>34</v>
      </c>
      <c r="I14" t="s">
        <v>15</v>
      </c>
      <c r="J14" t="s">
        <v>69</v>
      </c>
      <c r="N14" t="s">
        <v>182</v>
      </c>
      <c r="O14" t="s">
        <v>259</v>
      </c>
    </row>
    <row r="15" spans="1:15" x14ac:dyDescent="0.2">
      <c r="A15" t="s">
        <v>70</v>
      </c>
      <c r="B15" t="s">
        <v>71</v>
      </c>
      <c r="C15" s="2" t="s">
        <v>222</v>
      </c>
      <c r="E15" t="s">
        <v>12</v>
      </c>
      <c r="F15" t="s">
        <v>60</v>
      </c>
      <c r="G15" t="str">
        <f>_xlfn.XLOOKUP(F15,'Country Flags'!$A$2:$A$18, 'Country Flags'!$B$2:$B$18, "not found", 0)</f>
        <v>/Users/aminatlawal/Documents/Dish Guesser/country flags/in.png'</v>
      </c>
      <c r="H15" t="s">
        <v>34</v>
      </c>
      <c r="I15" t="s">
        <v>15</v>
      </c>
      <c r="J15" t="s">
        <v>72</v>
      </c>
      <c r="N15" t="s">
        <v>183</v>
      </c>
      <c r="O15" t="s">
        <v>260</v>
      </c>
    </row>
    <row r="16" spans="1:15" x14ac:dyDescent="0.2">
      <c r="A16" t="s">
        <v>73</v>
      </c>
      <c r="B16" t="s">
        <v>74</v>
      </c>
      <c r="C16" s="2" t="s">
        <v>223</v>
      </c>
      <c r="E16" t="s">
        <v>68</v>
      </c>
      <c r="F16" t="s">
        <v>75</v>
      </c>
      <c r="G16" t="str">
        <f>_xlfn.XLOOKUP(F16,'Country Flags'!$A$2:$A$18, 'Country Flags'!$B$2:$B$18, "not found", 0)</f>
        <v>/Users/aminatlawal/Documents/Dish Guesser/country flags/lb.png'</v>
      </c>
      <c r="H16" t="s">
        <v>76</v>
      </c>
      <c r="I16" t="s">
        <v>15</v>
      </c>
      <c r="J16" s="2" t="s">
        <v>77</v>
      </c>
      <c r="N16" t="s">
        <v>176</v>
      </c>
      <c r="O16" t="s">
        <v>261</v>
      </c>
    </row>
    <row r="17" spans="1:15" x14ac:dyDescent="0.2">
      <c r="A17" t="s">
        <v>78</v>
      </c>
      <c r="B17" t="s">
        <v>79</v>
      </c>
      <c r="C17" s="2" t="s">
        <v>224</v>
      </c>
      <c r="E17" t="s">
        <v>50</v>
      </c>
      <c r="F17" t="s">
        <v>75</v>
      </c>
      <c r="G17" t="str">
        <f>_xlfn.XLOOKUP(F17,'Country Flags'!$A$2:$A$18, 'Country Flags'!$B$2:$B$18, "not found", 0)</f>
        <v>/Users/aminatlawal/Documents/Dish Guesser/country flags/lb.png'</v>
      </c>
      <c r="H17" t="s">
        <v>76</v>
      </c>
      <c r="I17" t="s">
        <v>15</v>
      </c>
      <c r="J17" s="2" t="s">
        <v>80</v>
      </c>
      <c r="N17" t="s">
        <v>184</v>
      </c>
      <c r="O17" t="s">
        <v>262</v>
      </c>
    </row>
    <row r="18" spans="1:15" x14ac:dyDescent="0.2">
      <c r="A18" t="s">
        <v>81</v>
      </c>
      <c r="B18" t="s">
        <v>82</v>
      </c>
      <c r="C18" s="2" t="s">
        <v>225</v>
      </c>
      <c r="E18" t="s">
        <v>83</v>
      </c>
      <c r="F18" t="s">
        <v>84</v>
      </c>
      <c r="G18" t="str">
        <f>_xlfn.XLOOKUP(F18,'Country Flags'!$A$2:$A$18, 'Country Flags'!$B$2:$B$18, "not found", 0)</f>
        <v>/Users/aminatlawal/Documents/Dish Guesser/country flags/gr.png'</v>
      </c>
      <c r="H18" t="s">
        <v>14</v>
      </c>
      <c r="I18" t="s">
        <v>15</v>
      </c>
      <c r="J18" t="s">
        <v>85</v>
      </c>
      <c r="N18" t="s">
        <v>185</v>
      </c>
      <c r="O18" t="s">
        <v>263</v>
      </c>
    </row>
    <row r="19" spans="1:15" x14ac:dyDescent="0.2">
      <c r="A19" t="s">
        <v>86</v>
      </c>
      <c r="B19" t="s">
        <v>87</v>
      </c>
      <c r="C19" s="2" t="s">
        <v>226</v>
      </c>
      <c r="E19" t="s">
        <v>50</v>
      </c>
      <c r="F19" t="s">
        <v>84</v>
      </c>
      <c r="G19" t="str">
        <f>_xlfn.XLOOKUP(F19,'Country Flags'!$A$2:$A$18, 'Country Flags'!$B$2:$B$18, "not found", 0)</f>
        <v>/Users/aminatlawal/Documents/Dish Guesser/country flags/gr.png'</v>
      </c>
      <c r="H19" t="s">
        <v>14</v>
      </c>
      <c r="I19" t="s">
        <v>15</v>
      </c>
      <c r="J19" s="2" t="s">
        <v>88</v>
      </c>
      <c r="N19" t="s">
        <v>176</v>
      </c>
      <c r="O19" t="s">
        <v>264</v>
      </c>
    </row>
    <row r="20" spans="1:15" x14ac:dyDescent="0.2">
      <c r="A20" t="s">
        <v>89</v>
      </c>
      <c r="B20" t="s">
        <v>90</v>
      </c>
      <c r="C20" s="2" t="s">
        <v>227</v>
      </c>
      <c r="E20" t="s">
        <v>91</v>
      </c>
      <c r="F20" t="s">
        <v>92</v>
      </c>
      <c r="G20" t="str">
        <f>_xlfn.XLOOKUP(F20,'Country Flags'!$A$2:$A$18, 'Country Flags'!$B$2:$B$18, "not found", 0)</f>
        <v>/Users/aminatlawal/Documents/Dish Guesser/country flags/tr.png'</v>
      </c>
      <c r="H20" t="s">
        <v>76</v>
      </c>
      <c r="I20" t="s">
        <v>19</v>
      </c>
      <c r="J20" t="s">
        <v>93</v>
      </c>
      <c r="N20" t="s">
        <v>185</v>
      </c>
      <c r="O20" t="s">
        <v>265</v>
      </c>
    </row>
    <row r="21" spans="1:15" x14ac:dyDescent="0.2">
      <c r="A21" t="s">
        <v>94</v>
      </c>
      <c r="B21" t="s">
        <v>95</v>
      </c>
      <c r="C21" s="2" t="s">
        <v>228</v>
      </c>
      <c r="E21" t="s">
        <v>50</v>
      </c>
      <c r="F21" t="s">
        <v>198</v>
      </c>
      <c r="G21" t="str">
        <f>_xlfn.XLOOKUP(F21,'Country Flags'!$A$2:$A$18, 'Country Flags'!$B$2:$B$18, "not found", 0)</f>
        <v>/Users/aminatlawal/Documents/Dish Guesser/country flags/eg.png'</v>
      </c>
      <c r="H21" t="s">
        <v>76</v>
      </c>
      <c r="I21" t="s">
        <v>15</v>
      </c>
      <c r="J21" t="s">
        <v>96</v>
      </c>
      <c r="N21" t="s">
        <v>183</v>
      </c>
      <c r="O21" t="s">
        <v>266</v>
      </c>
    </row>
    <row r="22" spans="1:15" x14ac:dyDescent="0.2">
      <c r="A22" t="s">
        <v>97</v>
      </c>
      <c r="B22" t="s">
        <v>98</v>
      </c>
      <c r="C22" s="2" t="s">
        <v>229</v>
      </c>
      <c r="E22" t="s">
        <v>99</v>
      </c>
      <c r="F22" t="s">
        <v>100</v>
      </c>
      <c r="G22" t="str">
        <f>_xlfn.XLOOKUP(F22,'Country Flags'!$A$2:$A$18, 'Country Flags'!$B$2:$B$18, "not found", 0)</f>
        <v>/Users/aminatlawal/Documents/Dish Guesser/country flags/fr.png'</v>
      </c>
      <c r="H22" t="s">
        <v>14</v>
      </c>
      <c r="I22" t="s">
        <v>15</v>
      </c>
      <c r="J22" t="s">
        <v>101</v>
      </c>
      <c r="N22" t="s">
        <v>186</v>
      </c>
      <c r="O22" t="s">
        <v>267</v>
      </c>
    </row>
    <row r="23" spans="1:15" x14ac:dyDescent="0.2">
      <c r="A23" t="s">
        <v>102</v>
      </c>
      <c r="B23" t="s">
        <v>103</v>
      </c>
      <c r="C23" s="2" t="s">
        <v>230</v>
      </c>
      <c r="E23" t="s">
        <v>104</v>
      </c>
      <c r="F23" t="s">
        <v>33</v>
      </c>
      <c r="G23" t="str">
        <f>_xlfn.XLOOKUP(F23,'Country Flags'!$A$2:$A$18, 'Country Flags'!$B$2:$B$18, "not found", 0)</f>
        <v>/Users/aminatlawal/Documents/Dish Guesser/country flags/jp.png'</v>
      </c>
      <c r="H23" t="s">
        <v>34</v>
      </c>
      <c r="I23" t="s">
        <v>15</v>
      </c>
      <c r="J23" t="s">
        <v>105</v>
      </c>
      <c r="N23" t="s">
        <v>187</v>
      </c>
      <c r="O23" t="s">
        <v>268</v>
      </c>
    </row>
    <row r="24" spans="1:15" x14ac:dyDescent="0.2">
      <c r="A24" t="s">
        <v>106</v>
      </c>
      <c r="B24" t="s">
        <v>107</v>
      </c>
      <c r="C24" s="2" t="s">
        <v>231</v>
      </c>
      <c r="E24" t="s">
        <v>46</v>
      </c>
      <c r="F24" t="s">
        <v>33</v>
      </c>
      <c r="G24" t="str">
        <f>_xlfn.XLOOKUP(F24,'Country Flags'!$A$2:$A$18, 'Country Flags'!$B$2:$B$18, "not found", 0)</f>
        <v>/Users/aminatlawal/Documents/Dish Guesser/country flags/jp.png'</v>
      </c>
      <c r="H24" t="s">
        <v>34</v>
      </c>
      <c r="I24" t="s">
        <v>15</v>
      </c>
      <c r="J24" t="s">
        <v>108</v>
      </c>
      <c r="N24" t="s">
        <v>177</v>
      </c>
      <c r="O24" t="s">
        <v>269</v>
      </c>
    </row>
    <row r="25" spans="1:15" x14ac:dyDescent="0.2">
      <c r="A25" t="s">
        <v>109</v>
      </c>
      <c r="B25" t="s">
        <v>110</v>
      </c>
      <c r="C25" s="2" t="s">
        <v>232</v>
      </c>
      <c r="E25" t="s">
        <v>111</v>
      </c>
      <c r="F25" t="s">
        <v>51</v>
      </c>
      <c r="G25" t="str">
        <f>_xlfn.XLOOKUP(F25,'Country Flags'!$A$2:$A$18, 'Country Flags'!$B$2:$B$18, "not found", 0)</f>
        <v>/Users/aminatlawal/Documents/Dish Guesser/country flags/th.png'</v>
      </c>
      <c r="H25" t="s">
        <v>34</v>
      </c>
      <c r="I25" t="s">
        <v>15</v>
      </c>
      <c r="J25" t="s">
        <v>112</v>
      </c>
      <c r="N25" t="s">
        <v>175</v>
      </c>
      <c r="O25" t="s">
        <v>270</v>
      </c>
    </row>
    <row r="26" spans="1:15" x14ac:dyDescent="0.2">
      <c r="A26" t="s">
        <v>113</v>
      </c>
      <c r="B26" t="s">
        <v>114</v>
      </c>
      <c r="C26" s="2" t="s">
        <v>233</v>
      </c>
      <c r="E26" t="s">
        <v>115</v>
      </c>
      <c r="F26" t="s">
        <v>56</v>
      </c>
      <c r="G26" t="str">
        <f>_xlfn.XLOOKUP(F26,'Country Flags'!$A$2:$A$18, 'Country Flags'!$B$2:$B$18, "not found", 0)</f>
        <v>/Users/aminatlawal/Documents/Dish Guesser/country flags/cn.png'</v>
      </c>
      <c r="H26" t="s">
        <v>34</v>
      </c>
      <c r="I26" t="s">
        <v>15</v>
      </c>
      <c r="J26" t="s">
        <v>116</v>
      </c>
      <c r="N26" t="s">
        <v>178</v>
      </c>
      <c r="O26" t="s">
        <v>271</v>
      </c>
    </row>
    <row r="27" spans="1:15" x14ac:dyDescent="0.2">
      <c r="A27" t="s">
        <v>117</v>
      </c>
      <c r="B27" t="s">
        <v>118</v>
      </c>
      <c r="C27" s="2" t="s">
        <v>234</v>
      </c>
      <c r="E27" t="s">
        <v>119</v>
      </c>
      <c r="F27" t="s">
        <v>42</v>
      </c>
      <c r="G27" t="str">
        <f>_xlfn.XLOOKUP(F27,'Country Flags'!$A$2:$A$18, 'Country Flags'!$B$2:$B$18, "not found", 0)</f>
        <v>/Users/aminatlawal/Documents/Dish Guesser/country flags/kr.png'</v>
      </c>
      <c r="H27" t="s">
        <v>34</v>
      </c>
      <c r="I27" t="s">
        <v>15</v>
      </c>
      <c r="J27" t="s">
        <v>120</v>
      </c>
      <c r="N27" t="s">
        <v>187</v>
      </c>
      <c r="O27" t="s">
        <v>272</v>
      </c>
    </row>
    <row r="28" spans="1:15" x14ac:dyDescent="0.2">
      <c r="A28" t="s">
        <v>121</v>
      </c>
      <c r="B28" t="s">
        <v>122</v>
      </c>
      <c r="C28" s="2" t="s">
        <v>235</v>
      </c>
      <c r="E28" t="s">
        <v>104</v>
      </c>
      <c r="F28" t="s">
        <v>42</v>
      </c>
      <c r="G28" t="str">
        <f>_xlfn.XLOOKUP(F28,'Country Flags'!$A$2:$A$18, 'Country Flags'!$B$2:$B$18, "not found", 0)</f>
        <v>/Users/aminatlawal/Documents/Dish Guesser/country flags/kr.png'</v>
      </c>
      <c r="H28" t="s">
        <v>34</v>
      </c>
      <c r="I28" t="s">
        <v>15</v>
      </c>
      <c r="J28" t="s">
        <v>123</v>
      </c>
      <c r="N28" t="s">
        <v>188</v>
      </c>
      <c r="O28" t="s">
        <v>273</v>
      </c>
    </row>
    <row r="29" spans="1:15" x14ac:dyDescent="0.2">
      <c r="A29" t="s">
        <v>124</v>
      </c>
      <c r="B29" t="s">
        <v>45</v>
      </c>
      <c r="C29" s="2" t="s">
        <v>216</v>
      </c>
      <c r="E29" t="s">
        <v>68</v>
      </c>
      <c r="F29" t="s">
        <v>42</v>
      </c>
      <c r="G29" t="str">
        <f>_xlfn.XLOOKUP(F29,'Country Flags'!$A$2:$A$18, 'Country Flags'!$B$2:$B$18, "not found", 0)</f>
        <v>/Users/aminatlawal/Documents/Dish Guesser/country flags/kr.png'</v>
      </c>
      <c r="H29" t="s">
        <v>34</v>
      </c>
      <c r="I29" t="s">
        <v>15</v>
      </c>
      <c r="J29" t="s">
        <v>47</v>
      </c>
      <c r="N29" t="s">
        <v>180</v>
      </c>
      <c r="O29" t="s">
        <v>254</v>
      </c>
    </row>
    <row r="30" spans="1:15" x14ac:dyDescent="0.2">
      <c r="A30" t="s">
        <v>125</v>
      </c>
      <c r="B30" t="s">
        <v>126</v>
      </c>
      <c r="C30" s="2" t="s">
        <v>236</v>
      </c>
      <c r="E30" t="s">
        <v>115</v>
      </c>
      <c r="F30" t="s">
        <v>84</v>
      </c>
      <c r="G30" t="str">
        <f>_xlfn.XLOOKUP(F30,'Country Flags'!$A$2:$A$18, 'Country Flags'!$B$2:$B$18, "not found", 0)</f>
        <v>/Users/aminatlawal/Documents/Dish Guesser/country flags/gr.png'</v>
      </c>
      <c r="H30" t="s">
        <v>14</v>
      </c>
      <c r="I30" t="s">
        <v>15</v>
      </c>
      <c r="J30" t="s">
        <v>127</v>
      </c>
      <c r="N30" t="s">
        <v>185</v>
      </c>
      <c r="O30" t="s">
        <v>274</v>
      </c>
    </row>
    <row r="31" spans="1:15" x14ac:dyDescent="0.2">
      <c r="A31" t="s">
        <v>128</v>
      </c>
      <c r="B31" t="s">
        <v>129</v>
      </c>
      <c r="C31" s="2" t="s">
        <v>237</v>
      </c>
      <c r="E31" t="s">
        <v>111</v>
      </c>
      <c r="F31" t="s">
        <v>130</v>
      </c>
      <c r="G31" t="str">
        <f>_xlfn.XLOOKUP(F31,'Country Flags'!$A$2:$A$18, 'Country Flags'!$B$2:$B$18, "not found", 0)</f>
        <v>/Users/aminatlawal/Documents/Dish Guesser/country flags/jm.png'</v>
      </c>
      <c r="H31" t="s">
        <v>131</v>
      </c>
      <c r="I31" t="s">
        <v>15</v>
      </c>
      <c r="J31" t="s">
        <v>132</v>
      </c>
      <c r="N31" t="s">
        <v>187</v>
      </c>
      <c r="O31" t="s">
        <v>275</v>
      </c>
    </row>
    <row r="32" spans="1:15" x14ac:dyDescent="0.2">
      <c r="A32" t="s">
        <v>133</v>
      </c>
      <c r="B32" t="s">
        <v>134</v>
      </c>
      <c r="C32" s="2" t="s">
        <v>238</v>
      </c>
      <c r="E32" t="s">
        <v>135</v>
      </c>
      <c r="F32" t="s">
        <v>130</v>
      </c>
      <c r="G32" t="str">
        <f>_xlfn.XLOOKUP(F32,'Country Flags'!$A$2:$A$18, 'Country Flags'!$B$2:$B$18, "not found", 0)</f>
        <v>/Users/aminatlawal/Documents/Dish Guesser/country flags/jm.png'</v>
      </c>
      <c r="H32" t="s">
        <v>131</v>
      </c>
      <c r="I32" t="s">
        <v>15</v>
      </c>
      <c r="J32" t="s">
        <v>136</v>
      </c>
      <c r="N32" t="s">
        <v>179</v>
      </c>
      <c r="O32" t="s">
        <v>276</v>
      </c>
    </row>
    <row r="33" spans="1:15" x14ac:dyDescent="0.2">
      <c r="A33" t="s">
        <v>137</v>
      </c>
      <c r="B33" t="s">
        <v>138</v>
      </c>
      <c r="C33" s="2" t="s">
        <v>239</v>
      </c>
      <c r="E33" t="s">
        <v>91</v>
      </c>
      <c r="F33" t="s">
        <v>139</v>
      </c>
      <c r="G33" t="str">
        <f>_xlfn.XLOOKUP(F33,'Country Flags'!$A$2:$A$18, 'Country Flags'!$B$2:$B$18, "not found", 0)</f>
        <v>/Users/aminatlawal/Documents/Dish Guesser/country flags/ru.png'</v>
      </c>
      <c r="H33" t="s">
        <v>14</v>
      </c>
      <c r="I33" t="s">
        <v>15</v>
      </c>
      <c r="J33" t="s">
        <v>140</v>
      </c>
      <c r="N33" t="s">
        <v>182</v>
      </c>
      <c r="O33" t="s">
        <v>277</v>
      </c>
    </row>
    <row r="34" spans="1:15" x14ac:dyDescent="0.2">
      <c r="A34" t="s">
        <v>141</v>
      </c>
      <c r="B34" t="s">
        <v>142</v>
      </c>
      <c r="C34" s="2" t="s">
        <v>240</v>
      </c>
      <c r="E34" t="s">
        <v>143</v>
      </c>
      <c r="F34" t="s">
        <v>144</v>
      </c>
      <c r="G34" t="str">
        <f>_xlfn.XLOOKUP(F34,'Country Flags'!$A$2:$A$18, 'Country Flags'!$B$2:$B$18, "not found", 0)</f>
        <v>/Users/aminatlawal/Documents/Dish Guesser/country flags/hu.png'</v>
      </c>
      <c r="H34" t="s">
        <v>14</v>
      </c>
      <c r="I34" t="s">
        <v>15</v>
      </c>
      <c r="J34" t="s">
        <v>145</v>
      </c>
      <c r="N34" t="s">
        <v>179</v>
      </c>
      <c r="O34" t="s">
        <v>278</v>
      </c>
    </row>
    <row r="35" spans="1:15" x14ac:dyDescent="0.2">
      <c r="A35" t="s">
        <v>146</v>
      </c>
      <c r="B35" t="s">
        <v>147</v>
      </c>
      <c r="C35" s="2" t="s">
        <v>246</v>
      </c>
      <c r="E35" t="s">
        <v>148</v>
      </c>
      <c r="F35" t="s">
        <v>149</v>
      </c>
      <c r="G35" t="str">
        <f>_xlfn.XLOOKUP(F35,'Country Flags'!$A$2:$A$18, 'Country Flags'!$B$2:$B$18, "not found", 0)</f>
        <v>/Users/aminatlawal/Documents/Dish Guesser/country flags/gb.png'</v>
      </c>
      <c r="H35" t="s">
        <v>14</v>
      </c>
      <c r="I35" t="s">
        <v>15</v>
      </c>
      <c r="J35" t="s">
        <v>150</v>
      </c>
      <c r="N35" t="s">
        <v>185</v>
      </c>
      <c r="O35" t="s">
        <v>279</v>
      </c>
    </row>
    <row r="36" spans="1:15" x14ac:dyDescent="0.2">
      <c r="A36" t="s">
        <v>151</v>
      </c>
      <c r="B36" t="s">
        <v>152</v>
      </c>
      <c r="C36" s="2" t="s">
        <v>241</v>
      </c>
      <c r="E36" t="s">
        <v>153</v>
      </c>
      <c r="F36" t="s">
        <v>149</v>
      </c>
      <c r="G36" t="str">
        <f>_xlfn.XLOOKUP(F36,'Country Flags'!$A$2:$A$18, 'Country Flags'!$B$2:$B$18, "not found", 0)</f>
        <v>/Users/aminatlawal/Documents/Dish Guesser/country flags/gb.png'</v>
      </c>
      <c r="H36" t="s">
        <v>14</v>
      </c>
      <c r="I36" t="s">
        <v>15</v>
      </c>
      <c r="J36" t="s">
        <v>154</v>
      </c>
      <c r="N36" t="s">
        <v>185</v>
      </c>
      <c r="O36" t="s">
        <v>280</v>
      </c>
    </row>
    <row r="37" spans="1:15" x14ac:dyDescent="0.2">
      <c r="A37" t="s">
        <v>155</v>
      </c>
      <c r="B37" t="s">
        <v>156</v>
      </c>
      <c r="C37" s="2" t="s">
        <v>242</v>
      </c>
      <c r="E37" t="s">
        <v>104</v>
      </c>
      <c r="F37" t="s">
        <v>149</v>
      </c>
      <c r="G37" t="str">
        <f>_xlfn.XLOOKUP(F37,'Country Flags'!$A$2:$A$18, 'Country Flags'!$B$2:$B$18, "not found", 0)</f>
        <v>/Users/aminatlawal/Documents/Dish Guesser/country flags/gb.png'</v>
      </c>
      <c r="H37" t="s">
        <v>14</v>
      </c>
      <c r="I37" t="s">
        <v>19</v>
      </c>
      <c r="J37" t="s">
        <v>157</v>
      </c>
      <c r="N37" t="s">
        <v>185</v>
      </c>
      <c r="O37" t="s">
        <v>281</v>
      </c>
    </row>
    <row r="38" spans="1:15" x14ac:dyDescent="0.2">
      <c r="A38" t="s">
        <v>158</v>
      </c>
      <c r="B38" t="s">
        <v>159</v>
      </c>
      <c r="C38" s="2" t="s">
        <v>243</v>
      </c>
      <c r="E38" t="s">
        <v>160</v>
      </c>
      <c r="F38" t="s">
        <v>161</v>
      </c>
      <c r="G38" t="str">
        <f>_xlfn.XLOOKUP(F38,'Country Flags'!$A$2:$A$18, 'Country Flags'!$B$2:$B$18, "not found", 0)</f>
        <v>/Users/aminatlawal/Documents/My Tableau Repository/Shapes/Country flags/se.png'</v>
      </c>
      <c r="H38" t="s">
        <v>14</v>
      </c>
      <c r="I38" t="s">
        <v>15</v>
      </c>
      <c r="J38" t="s">
        <v>162</v>
      </c>
      <c r="N38" t="s">
        <v>178</v>
      </c>
      <c r="O38" t="s">
        <v>282</v>
      </c>
    </row>
    <row r="39" spans="1:15" x14ac:dyDescent="0.2">
      <c r="A39" t="s">
        <v>163</v>
      </c>
      <c r="B39" t="s">
        <v>164</v>
      </c>
      <c r="C39" s="2" t="s">
        <v>244</v>
      </c>
      <c r="E39" t="s">
        <v>111</v>
      </c>
      <c r="F39" t="s">
        <v>33</v>
      </c>
      <c r="G39" t="str">
        <f>_xlfn.XLOOKUP(F39,'Country Flags'!$A$2:$A$18, 'Country Flags'!$B$2:$B$18, "not found", 0)</f>
        <v>/Users/aminatlawal/Documents/Dish Guesser/country flags/jp.png'</v>
      </c>
      <c r="H39" t="s">
        <v>34</v>
      </c>
      <c r="I39" t="s">
        <v>19</v>
      </c>
      <c r="J39" t="s">
        <v>165</v>
      </c>
      <c r="N39" t="s">
        <v>189</v>
      </c>
      <c r="O39" t="s">
        <v>283</v>
      </c>
    </row>
  </sheetData>
  <autoFilter ref="A1:M39" xr:uid="{1390B6E7-CB82-A445-8AB3-1F469A2EF794}"/>
  <hyperlinks>
    <hyperlink ref="J3" r:id="rId1" xr:uid="{A0A0EB2A-DDA3-6549-9377-BF2D08D719F8}"/>
    <hyperlink ref="J5" r:id="rId2" xr:uid="{033E83CB-7D95-EE47-9985-46F5889BA4B3}"/>
    <hyperlink ref="J16" r:id="rId3" xr:uid="{93D6FDDD-95DB-434D-B869-001E02748BCC}"/>
    <hyperlink ref="J17" r:id="rId4" xr:uid="{5E810D6E-E607-DB44-9C7D-AAC6BF68C2B5}"/>
    <hyperlink ref="J19" r:id="rId5" xr:uid="{39F6057C-45B8-BF4A-8D21-E8B0BBD808D9}"/>
    <hyperlink ref="C3" r:id="rId6" xr:uid="{7C82A346-FADB-7040-8C20-D6DDA18CAE7D}"/>
    <hyperlink ref="C4" r:id="rId7" xr:uid="{629092F1-F78C-1D4F-BF81-F38D98670520}"/>
    <hyperlink ref="C5" r:id="rId8" xr:uid="{411E52D2-23A5-5045-9432-BF477E41D311}"/>
    <hyperlink ref="C6" r:id="rId9" xr:uid="{2CD1711B-EC94-7D41-8E2C-2442EE08F9F8}"/>
    <hyperlink ref="C7" r:id="rId10" xr:uid="{C69CD5D8-B2E0-2E45-8137-C00465D5ADD2}"/>
    <hyperlink ref="C8" r:id="rId11" xr:uid="{B4818D25-E744-9749-95F0-DB8E16E7CCCD}"/>
    <hyperlink ref="C9" r:id="rId12" xr:uid="{702A40E6-E88B-AC49-BDEB-D0BC802A3D90}"/>
    <hyperlink ref="C10" r:id="rId13" xr:uid="{BF2E1A5C-035D-9B46-801D-A4BA0153625C}"/>
    <hyperlink ref="C11" r:id="rId14" xr:uid="{E671FD46-51B2-0546-9650-E97C30C8640F}"/>
    <hyperlink ref="C12" r:id="rId15" xr:uid="{26F08FB7-012E-7349-AEA1-45CCC84DDFB2}"/>
    <hyperlink ref="C13" r:id="rId16" xr:uid="{413E205F-7E15-494B-804D-55BFA9B87012}"/>
    <hyperlink ref="C14" r:id="rId17" xr:uid="{2F6A054E-F20B-C744-99B0-A85F90D4AF0C}"/>
    <hyperlink ref="C15" r:id="rId18" xr:uid="{BF0370C5-54C0-7441-B65C-B27C95D54D63}"/>
    <hyperlink ref="C16" r:id="rId19" xr:uid="{5D5A2D4A-5182-BC4B-B54A-E2A338F77E47}"/>
    <hyperlink ref="C17" r:id="rId20" xr:uid="{62819F8C-2C93-0C4D-897B-7D3FE673F1A0}"/>
    <hyperlink ref="C18" r:id="rId21" xr:uid="{1B8C9124-8389-F940-A7A7-47A2651CA80F}"/>
    <hyperlink ref="C19" r:id="rId22" xr:uid="{0413AB10-D4F9-334E-99E7-40479ACF7331}"/>
    <hyperlink ref="C20" r:id="rId23" xr:uid="{FE8A2560-23B4-1A46-9538-793A087264B4}"/>
    <hyperlink ref="C21" r:id="rId24" xr:uid="{D4948D50-83B1-B144-923D-81F00CEA34BB}"/>
    <hyperlink ref="C22" r:id="rId25" xr:uid="{E6839E60-3D7B-6647-A5E2-22692CEA3F3E}"/>
    <hyperlink ref="C23" r:id="rId26" xr:uid="{86AAF703-FAEE-774C-BAD0-1452A44EA9E3}"/>
    <hyperlink ref="C24" r:id="rId27" xr:uid="{D243880B-1B1C-BE46-A7A4-42BAD23B1BB9}"/>
    <hyperlink ref="C25" r:id="rId28" xr:uid="{7899DBE1-D25F-8747-A982-AA3ECCAF94C6}"/>
    <hyperlink ref="C26" r:id="rId29" xr:uid="{656209F6-8F24-C346-B5D3-68C6E32F30D6}"/>
    <hyperlink ref="C27" r:id="rId30" xr:uid="{DD163429-BD98-6346-A91E-03F1D17CC9F9}"/>
    <hyperlink ref="C28" r:id="rId31" xr:uid="{E8A7F52E-FFF9-6A41-9AF3-F4C8D7153AB3}"/>
    <hyperlink ref="C29" r:id="rId32" xr:uid="{5ABD6283-B3EB-904E-9667-093D34D2E304}"/>
    <hyperlink ref="C30" r:id="rId33" xr:uid="{F048E108-DA10-1643-B03D-920CD77CDFCF}"/>
    <hyperlink ref="C31" r:id="rId34" xr:uid="{B32AC2F4-E4F0-BB43-B283-703F6186B450}"/>
    <hyperlink ref="C32" r:id="rId35" xr:uid="{2BD5F06C-5551-8C43-825C-F0FC5185E748}"/>
    <hyperlink ref="C33" r:id="rId36" xr:uid="{AC1BE6B9-B95E-2044-B4A1-DC100E9C06FB}"/>
    <hyperlink ref="C34" r:id="rId37" xr:uid="{69BC71F6-73C4-A84F-B1A2-C30F293E8FF1}"/>
    <hyperlink ref="C35" r:id="rId38" xr:uid="{3AD78DEB-C73E-8545-9FEF-6EF6EAE81387}"/>
    <hyperlink ref="C36" r:id="rId39" xr:uid="{16343F72-6C79-8C4F-BEBC-6AB6D469DC15}"/>
    <hyperlink ref="C37" r:id="rId40" xr:uid="{5160DD7A-2170-2446-B11F-98336924A05D}"/>
    <hyperlink ref="C38" r:id="rId41" xr:uid="{3EE1A148-3966-6241-9755-E70728E82892}"/>
    <hyperlink ref="C39" r:id="rId42" xr:uid="{6E6AB398-E0EC-124C-A20D-44EE0A08B818}"/>
    <hyperlink ref="C2" r:id="rId43" xr:uid="{42D45BE1-7A25-CD4B-B04D-CDBD560A6D5A}"/>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5F13F-5C77-9E4E-B3B1-BC8598D4E36A}">
  <dimension ref="A1:B18"/>
  <sheetViews>
    <sheetView workbookViewId="0">
      <selection activeCell="B2" sqref="B2"/>
    </sheetView>
  </sheetViews>
  <sheetFormatPr baseColWidth="10" defaultRowHeight="15" x14ac:dyDescent="0.2"/>
  <sheetData>
    <row r="1" spans="1:2" x14ac:dyDescent="0.2">
      <c r="A1" s="1" t="s">
        <v>171</v>
      </c>
      <c r="B1" s="6" t="s">
        <v>172</v>
      </c>
    </row>
    <row r="2" spans="1:2" x14ac:dyDescent="0.2">
      <c r="A2" t="s">
        <v>13</v>
      </c>
      <c r="B2" s="5" t="s">
        <v>209</v>
      </c>
    </row>
    <row r="3" spans="1:2" x14ac:dyDescent="0.2">
      <c r="A3" t="s">
        <v>24</v>
      </c>
      <c r="B3" s="5" t="s">
        <v>208</v>
      </c>
    </row>
    <row r="4" spans="1:2" x14ac:dyDescent="0.2">
      <c r="A4" t="s">
        <v>33</v>
      </c>
      <c r="B4" s="5" t="s">
        <v>207</v>
      </c>
    </row>
    <row r="5" spans="1:2" x14ac:dyDescent="0.2">
      <c r="A5" t="s">
        <v>42</v>
      </c>
      <c r="B5" s="5" t="s">
        <v>206</v>
      </c>
    </row>
    <row r="6" spans="1:2" x14ac:dyDescent="0.2">
      <c r="A6" t="s">
        <v>51</v>
      </c>
      <c r="B6" s="5" t="s">
        <v>205</v>
      </c>
    </row>
    <row r="7" spans="1:2" x14ac:dyDescent="0.2">
      <c r="A7" t="s">
        <v>56</v>
      </c>
      <c r="B7" s="5" t="s">
        <v>204</v>
      </c>
    </row>
    <row r="8" spans="1:2" x14ac:dyDescent="0.2">
      <c r="A8" t="s">
        <v>60</v>
      </c>
      <c r="B8" s="5" t="s">
        <v>203</v>
      </c>
    </row>
    <row r="9" spans="1:2" x14ac:dyDescent="0.2">
      <c r="A9" t="s">
        <v>75</v>
      </c>
      <c r="B9" s="5" t="s">
        <v>202</v>
      </c>
    </row>
    <row r="10" spans="1:2" x14ac:dyDescent="0.2">
      <c r="A10" t="s">
        <v>84</v>
      </c>
      <c r="B10" s="5" t="s">
        <v>201</v>
      </c>
    </row>
    <row r="11" spans="1:2" x14ac:dyDescent="0.2">
      <c r="A11" t="s">
        <v>92</v>
      </c>
      <c r="B11" s="5" t="s">
        <v>200</v>
      </c>
    </row>
    <row r="12" spans="1:2" x14ac:dyDescent="0.2">
      <c r="A12" t="s">
        <v>198</v>
      </c>
      <c r="B12" s="5" t="s">
        <v>199</v>
      </c>
    </row>
    <row r="13" spans="1:2" x14ac:dyDescent="0.2">
      <c r="A13" t="s">
        <v>100</v>
      </c>
      <c r="B13" s="5" t="s">
        <v>197</v>
      </c>
    </row>
    <row r="14" spans="1:2" x14ac:dyDescent="0.2">
      <c r="A14" t="s">
        <v>130</v>
      </c>
      <c r="B14" s="5" t="s">
        <v>196</v>
      </c>
    </row>
    <row r="15" spans="1:2" x14ac:dyDescent="0.2">
      <c r="A15" t="s">
        <v>139</v>
      </c>
      <c r="B15" s="5" t="s">
        <v>195</v>
      </c>
    </row>
    <row r="16" spans="1:2" x14ac:dyDescent="0.2">
      <c r="A16" t="s">
        <v>144</v>
      </c>
      <c r="B16" s="5" t="s">
        <v>194</v>
      </c>
    </row>
    <row r="17" spans="1:2" x14ac:dyDescent="0.2">
      <c r="A17" t="s">
        <v>149</v>
      </c>
      <c r="B17" s="5" t="s">
        <v>192</v>
      </c>
    </row>
    <row r="18" spans="1:2" x14ac:dyDescent="0.2">
      <c r="A18" t="s">
        <v>161</v>
      </c>
      <c r="B18" s="5" t="s">
        <v>193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election activeCell="A2" sqref="A2"/>
    </sheetView>
  </sheetViews>
  <sheetFormatPr baseColWidth="10" defaultColWidth="8.83203125" defaultRowHeight="15" x14ac:dyDescent="0.2"/>
  <cols>
    <col min="1" max="1" width="87.5" customWidth="1"/>
  </cols>
  <sheetData>
    <row r="1" spans="1:1" x14ac:dyDescent="0.2">
      <c r="A1" s="1" t="s">
        <v>166</v>
      </c>
    </row>
    <row r="2" spans="1:1" ht="275" customHeight="1" x14ac:dyDescent="0.2">
      <c r="A2" s="3" t="s">
        <v>167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Recipes</vt:lpstr>
      <vt:lpstr>Country Flags</vt:lpstr>
      <vt:lpstr>Mechanics of the game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Aminat Lawal</cp:lastModifiedBy>
  <dcterms:created xsi:type="dcterms:W3CDTF">2026-02-28T14:49:19Z</dcterms:created>
  <dcterms:modified xsi:type="dcterms:W3CDTF">2026-03-15T15:07:12Z</dcterms:modified>
</cp:coreProperties>
</file>